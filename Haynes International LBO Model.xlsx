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umptions" sheetId="1" r:id="rId5"/>
    <sheet state="visible" name="Income Statement" sheetId="2" r:id="rId6"/>
    <sheet state="visible" name="Debt Schedule" sheetId="3" r:id="rId7"/>
    <sheet state="visible" name="Free Cash Flow" sheetId="4" r:id="rId8"/>
    <sheet state="visible" name="Returns Analysis" sheetId="5" r:id="rId9"/>
    <sheet state="visible" name="Sensitivity" sheetId="6" r:id="rId10"/>
    <sheet state="visible" name="Valuation Bridge" sheetId="7" r:id="rId11"/>
    <sheet state="visible" name="vs. Acerinox Deal" sheetId="8" r:id="rId12"/>
  </sheets>
  <definedNames/>
  <calcPr/>
</workbook>
</file>

<file path=xl/sharedStrings.xml><?xml version="1.0" encoding="utf-8"?>
<sst xmlns="http://schemas.openxmlformats.org/spreadsheetml/2006/main" count="294" uniqueCount="269">
  <si>
    <t>LBO Model – Haynes International, Inc. (NASDAQ: HAYN)</t>
  </si>
  <si>
    <t>Assumptions &amp; Deal Parameters – all in USD millions unless noted</t>
  </si>
  <si>
    <t>Value</t>
  </si>
  <si>
    <t>Source/Note</t>
  </si>
  <si>
    <t>COMPANY – Historical Financials (Haynes Intl.)</t>
  </si>
  <si>
    <t>Revenue FY2023A ($M)</t>
  </si>
  <si>
    <t>Source: Haynes 10-K FY2023, p.46</t>
  </si>
  <si>
    <t>Revenue FY2024E ($M)</t>
  </si>
  <si>
    <t>Source: LTM as of June 30 2024 (8-K)</t>
  </si>
  <si>
    <t>Adj. EBITDA FY2023A ($M)</t>
  </si>
  <si>
    <t>~13,3% margin; Source: Haynes 10-K FY2023</t>
  </si>
  <si>
    <t>D&amp;A annual ($M)</t>
  </si>
  <si>
    <t>Source: Haynes 10-K FY2023, cash flow statement</t>
  </si>
  <si>
    <t>Capex FY2024E ($M)</t>
  </si>
  <si>
    <t>Midpoint of 22-26 guidance (8-K Q3 2024)</t>
  </si>
  <si>
    <t>NWC as % of revenue</t>
  </si>
  <si>
    <t>Estimated; inventory-heavy business</t>
  </si>
  <si>
    <t>Tax rate</t>
  </si>
  <si>
    <t>Effective rate per 10-K</t>
  </si>
  <si>
    <t>D&amp;A as % of revenue</t>
  </si>
  <si>
    <t>Stable: ~$18M on $590M revenue</t>
  </si>
  <si>
    <t>Maintenance capex % revenue</t>
  </si>
  <si>
    <t>~$18M maintenance: growth capex separate</t>
  </si>
  <si>
    <t>LBO ENTRY – Deal Parameters</t>
  </si>
  <si>
    <t>Entrey Enterprise Value ($M)</t>
  </si>
  <si>
    <t>Acerinox deal announced Feb 5, 2024 (BusinessWire)</t>
  </si>
  <si>
    <t>Entry EV / EBITDA multiple</t>
  </si>
  <si>
    <t>12,3x FY2023 EBITDA; per deal announcement</t>
  </si>
  <si>
    <t>Existing net debt assumed ($M)</t>
  </si>
  <si>
    <t>Debt +. adjustments absorbed; per Acerinox press release</t>
  </si>
  <si>
    <t>Transaction fees ($M)</t>
  </si>
  <si>
    <t>~2% of entry EV</t>
  </si>
  <si>
    <t>Price per share ($)</t>
  </si>
  <si>
    <t>All-cash offer; per definitive agreement Feb 2024</t>
  </si>
  <si>
    <t>Fully diluted shares (M)</t>
  </si>
  <si>
    <t>Source: Haynes proxy / 10-Q Mar 2024</t>
  </si>
  <si>
    <t>DEBT STRUCTURE</t>
  </si>
  <si>
    <t>Term Loan B – amount ($M)</t>
  </si>
  <si>
    <t>~4,0x entry EBITDA; senior secured</t>
  </si>
  <si>
    <t>TLB interest rate (SOFR+)</t>
  </si>
  <si>
    <t>SOFR ~5,3% + 350bps spread; ~8,5% all-in</t>
  </si>
  <si>
    <t>TLB amortization (% annual)</t>
  </si>
  <si>
    <t>1% mandatory; remainder via cash sweep</t>
  </si>
  <si>
    <t xml:space="preserve">Senior Notes (HY) – amount ($M) </t>
  </si>
  <si>
    <t>~1,5x EBITDA; senior unsecured</t>
  </si>
  <si>
    <t>HY Notes rate (fixed)</t>
  </si>
  <si>
    <t xml:space="preserve">Fixed coupon ~9,5%; bullet maturity Yr 8 </t>
  </si>
  <si>
    <t>Revolver capacity ($M)</t>
  </si>
  <si>
    <t>Undrawn at close; for working capital</t>
  </si>
  <si>
    <t>OPERATING ASSUMPTIONS – PROJECTIONS</t>
  </si>
  <si>
    <t>Revenue growth FY2025E</t>
  </si>
  <si>
    <t>Recovery from Boeing slowdown; backlog $405M</t>
  </si>
  <si>
    <t>Revenue growth FY2026E</t>
  </si>
  <si>
    <t>Aerospace ramp + industrial gas turbine growth</t>
  </si>
  <si>
    <t>Revenue growth FY2027E</t>
  </si>
  <si>
    <t>Margin expansion + aerospace supercycle</t>
  </si>
  <si>
    <t>Revenue growth FY2028E</t>
  </si>
  <si>
    <t>Steady state; defense + energy end markets</t>
  </si>
  <si>
    <t>EBITDA margin FY2025E</t>
  </si>
  <si>
    <t>Compression from raw material headwinds</t>
  </si>
  <si>
    <t>EBITDA margin FY2026E</t>
  </si>
  <si>
    <t>Operational leverage + cost initiatives</t>
  </si>
  <si>
    <t>EBITDA margin FY2027E</t>
  </si>
  <si>
    <t>Target margin at scale; ~top quartile industrial</t>
  </si>
  <si>
    <t>EBITDA margin FY2028E</t>
  </si>
  <si>
    <t>Fully ramped; peer median ~16-18%</t>
  </si>
  <si>
    <t>LBO EXIT – Returns Parameters</t>
  </si>
  <si>
    <t>Hold period (years)</t>
  </si>
  <si>
    <t>Standard PE hold; entry FY2024, exit FY2028</t>
  </si>
  <si>
    <t>Exit EV/EBITDA – low</t>
  </si>
  <si>
    <t>Conservative; discount to entry given leverarge</t>
  </si>
  <si>
    <t>Exit EV/EBITDA – base</t>
  </si>
  <si>
    <t>In-line with entry multiple (12,3x)</t>
  </si>
  <si>
    <t>Exit EV/EBITDA – high</t>
  </si>
  <si>
    <t>Multiple expansion; re-rating as aerospace play</t>
  </si>
  <si>
    <t>Management equity rollover ($M)</t>
  </si>
  <si>
    <t>~2% of equity; typical PE co-invest</t>
  </si>
  <si>
    <t>Income Statement – Haynes International LBO | 5-year Projection</t>
  </si>
  <si>
    <t>USD Millions | FY = fiscal year ending September 30</t>
  </si>
  <si>
    <t>FY2021A</t>
  </si>
  <si>
    <t>FY2022A</t>
  </si>
  <si>
    <t>FY2023A</t>
  </si>
  <si>
    <t>FY2024E</t>
  </si>
  <si>
    <t>FY2025E</t>
  </si>
  <si>
    <t>FY2026E</t>
  </si>
  <si>
    <t>FY2027E</t>
  </si>
  <si>
    <t>FY2028E</t>
  </si>
  <si>
    <t>Notes</t>
  </si>
  <si>
    <t>Revenue Build</t>
  </si>
  <si>
    <t>Revenue ($M)</t>
  </si>
  <si>
    <t>Source: FY2021-2023 per Haynes 10-K; FY2024E per LTM 8-K</t>
  </si>
  <si>
    <t xml:space="preserve">     YoY growth</t>
  </si>
  <si>
    <t>Gross Profit ($M)</t>
  </si>
  <si>
    <t xml:space="preserve">     Gross margin %</t>
  </si>
  <si>
    <t>SG&amp;A + R&amp;D ($M)</t>
  </si>
  <si>
    <t>EBITDA ($M)</t>
  </si>
  <si>
    <t>FY2021-2023: Adj. EBITDA per press releases; projections per Assumptions tab</t>
  </si>
  <si>
    <t xml:space="preserve">     EBITDA margin %</t>
  </si>
  <si>
    <t>D&amp;A ($M)</t>
  </si>
  <si>
    <t>EBIT ($M)</t>
  </si>
  <si>
    <t>Interest Expense ($M)</t>
  </si>
  <si>
    <t xml:space="preserve">EBT ($M) </t>
  </si>
  <si>
    <t>Taxes ($M)</t>
  </si>
  <si>
    <t>Net Income ($M)</t>
  </si>
  <si>
    <t xml:space="preserve">P&amp;L Summary </t>
  </si>
  <si>
    <t>Debt  Schedule – Haynes Internarional LBO</t>
  </si>
  <si>
    <t>USD Millions | Annual period ending September 30</t>
  </si>
  <si>
    <t>Term Loan B</t>
  </si>
  <si>
    <t>Beginning balance ($M)</t>
  </si>
  <si>
    <t xml:space="preserve">     Mandatory amortization (1%)</t>
  </si>
  <si>
    <t xml:space="preserve">  Cash sweep (set to 0 – no circular ref)</t>
  </si>
  <si>
    <t>Ending balance ($M)</t>
  </si>
  <si>
    <t>Interest expense ($M)</t>
  </si>
  <si>
    <t>Senior Notes (HY Bond)</t>
  </si>
  <si>
    <t xml:space="preserve">   Repayment (bullet at exit)</t>
  </si>
  <si>
    <t>Total Debt Summary</t>
  </si>
  <si>
    <t>Total debt – beginning ($M)</t>
  </si>
  <si>
    <t>Total debt – ending ($M)</t>
  </si>
  <si>
    <t>Net leverage (Debt/EBITDA)</t>
  </si>
  <si>
    <t>Total interest expense ($M)</t>
  </si>
  <si>
    <t>Interest coverage (EBITDA/Interest)</t>
  </si>
  <si>
    <t xml:space="preserve">     Covenant minimum (3,0x)</t>
  </si>
  <si>
    <t>Free Cash Flow – Haynes International LBO</t>
  </si>
  <si>
    <t>USD Millions | Unlevered and levered FCF build</t>
  </si>
  <si>
    <t>Unlevered Free Cash Flow</t>
  </si>
  <si>
    <t xml:space="preserve">     Taxes on EBIT (cash)</t>
  </si>
  <si>
    <t>NOPAT (after-tax EBIT)</t>
  </si>
  <si>
    <t>(+) D&amp;A add-back ($M)</t>
  </si>
  <si>
    <t>(–) Capex ($M)</t>
  </si>
  <si>
    <t>(–) Change in NWC ($M)</t>
  </si>
  <si>
    <t>Unlevered FCF ($M)</t>
  </si>
  <si>
    <t>Levered Free Cash Flow (Cash Available for Debt Repayment)</t>
  </si>
  <si>
    <t>(–) Total interst expense ($M)</t>
  </si>
  <si>
    <t>(–) TLB mandatory amortization ($M)</t>
  </si>
  <si>
    <t>Levered FCF (pre-sweep) ($M)</t>
  </si>
  <si>
    <t>Beginning cash ($M)</t>
  </si>
  <si>
    <t>Ending cash ($M)</t>
  </si>
  <si>
    <t>FCF available for cash sweep ($M)</t>
  </si>
  <si>
    <t>Returns Analysis – IRR &amp; MOIC | Haynes International</t>
  </si>
  <si>
    <t>Base case: 5-year hold, exit FY2028 | Three exit multiple scenarios</t>
  </si>
  <si>
    <t>Entry – Equity Investment</t>
  </si>
  <si>
    <t>Entry EV ($M)</t>
  </si>
  <si>
    <t>(-) Existing debt assumed ($M)</t>
  </si>
  <si>
    <t>(-) Transactions fees ($M)</t>
  </si>
  <si>
    <t>Total debt raised ($M)</t>
  </si>
  <si>
    <t>Sponsor equity invested ($M)</t>
  </si>
  <si>
    <t xml:space="preserve">     Entry EV/EBITDA multiple</t>
  </si>
  <si>
    <t>Exit – Three Scenarios (FY2028E = Year 5)</t>
  </si>
  <si>
    <t>Low (10x)</t>
  </si>
  <si>
    <t>Base (12x)</t>
  </si>
  <si>
    <t>High (14x)</t>
  </si>
  <si>
    <t>Exit EBITDA (FY2028E, $M)</t>
  </si>
  <si>
    <t>Exit EV/EBITDA multiple</t>
  </si>
  <si>
    <t>Exit Enterprise Value ($M)</t>
  </si>
  <si>
    <t>(-) Remaining debt at exit ($M)</t>
  </si>
  <si>
    <t>Exit Equity Value ($M)</t>
  </si>
  <si>
    <t>Returns – IRR &amp; MOIC</t>
  </si>
  <si>
    <t>Equity invested ($M)</t>
  </si>
  <si>
    <t>Exit equity proceeds ($M)</t>
  </si>
  <si>
    <t>IRR (%)</t>
  </si>
  <si>
    <t>Target: ≥20% IRR for typical PE mid-market fund</t>
  </si>
  <si>
    <t>MOIC (x)</t>
  </si>
  <si>
    <t>Target: ≥2.0x MOIC at base case</t>
  </si>
  <si>
    <t xml:space="preserve">     PE target IRR benchmark (20%+)</t>
  </si>
  <si>
    <t>Value Creation Bridge – Equity at Entry vs. Exit (Base Case)</t>
  </si>
  <si>
    <t>Equity at entry ($M)</t>
  </si>
  <si>
    <t>(+) EBITDA growth contribution ($M)</t>
  </si>
  <si>
    <t>(+) Multiple expansion / (contraction)</t>
  </si>
  <si>
    <t>(+) Debt paydown ($M)</t>
  </si>
  <si>
    <t>Sensitivity Analysis – IRR &amp; MOIC | Haynes International LBO</t>
  </si>
  <si>
    <t>Base case Year 5 exit | Entry multiple vs. exit multiple (left) | Revenue growth vs EBITDA margin (right)</t>
  </si>
  <si>
    <t>IRR – Entry vs. Exit multiple</t>
  </si>
  <si>
    <t>Entry EV/EBITDA</t>
  </si>
  <si>
    <t>Exit multiple</t>
  </si>
  <si>
    <t>MOIC (X) – Revenue growth vs. EBITDA margin (exit Yr 5 @ 12x)</t>
  </si>
  <si>
    <t>EBITDA margin</t>
  </si>
  <si>
    <t>Color scale: red = below target  ·  white = 20% IRR / 2.0x MOIC  ·  green = above target</t>
  </si>
  <si>
    <t>Bold border = base case (12.3x entry, 12x exit, 7% rev growth, 14.5% EBITDA margin)</t>
  </si>
  <si>
    <t>Value Creation Bridge – Entry to Exit (Base Case)</t>
  </si>
  <si>
    <t>Decomposition: EBITDA growth + multiple expansion + debt paydown | USD Millions</t>
  </si>
  <si>
    <t>Equity Value Bridge</t>
  </si>
  <si>
    <t>(-) Total debt at entry ($M)</t>
  </si>
  <si>
    <t>(-) Existing debt absorbed ($M)</t>
  </si>
  <si>
    <t>(-) Transaction fees ($M)</t>
  </si>
  <si>
    <t>Equity value at ENTRY ($M)</t>
  </si>
  <si>
    <t>Value Creation Components</t>
  </si>
  <si>
    <t>EBITDA at entry — FY2023A ($M)</t>
  </si>
  <si>
    <t>EBITDA at exit — FY2028E ($M)</t>
  </si>
  <si>
    <t>EBITDA growth ($M)</t>
  </si>
  <si>
    <t>EBITDA growth % (5 years)</t>
  </si>
  <si>
    <t>(1) Value from EBITDA growth (@ exit multiple, $M)</t>
  </si>
  <si>
    <t>ebitda growth × exit multiple</t>
  </si>
  <si>
    <t>Entry multiple</t>
  </si>
  <si>
    <t>Exit multiple (base case)</t>
  </si>
  <si>
    <t>(2) Value from multiple expansion (on exit EBITDA, $M)</t>
  </si>
  <si>
    <t>exit ebitda × (exit − entry multiple)</t>
  </si>
  <si>
    <t>Total debt at entry ($M)</t>
  </si>
  <si>
    <t>Total debt at exit ($M)</t>
  </si>
  <si>
    <t>(3) Value from debt paydown ($M)</t>
  </si>
  <si>
    <t>debt at entry − debt at exit</t>
  </si>
  <si>
    <t>Exit Equity Value Reconciliation</t>
  </si>
  <si>
    <t>Equity value at entry ($M)</t>
  </si>
  <si>
    <t>(+) Multiple expansion ($M)</t>
  </si>
  <si>
    <t>Exit equity value ($M)</t>
  </si>
  <si>
    <t xml:space="preserve">     Check vs. Returns Analysis ($M)</t>
  </si>
  <si>
    <t>vs. Acerinox Deal – Would a PE LBO Have Been More Profitable?</t>
  </si>
  <si>
    <t>Acerinox acquired Haynes at $61/share | EV $970M | 12.3x EBITDA | Announced Feb 5, 2024</t>
  </si>
  <si>
    <t>Acerinox Strategic Acquisition — Actual Deal</t>
  </si>
  <si>
    <t>Acquiror</t>
  </si>
  <si>
    <t>Acerinox S.A. (via North American Stainless)</t>
  </si>
  <si>
    <t>Spanish stainless steel manufacturer</t>
  </si>
  <si>
    <t>Deal type</t>
  </si>
  <si>
    <t>All-cash strategic acquisition</t>
  </si>
  <si>
    <t>No financial leverage</t>
  </si>
  <si>
    <t>Price per share</t>
  </si>
  <si>
    <t>$61.00</t>
  </si>
  <si>
    <t>Source: BusinessWire Feb 5, 2024</t>
  </si>
  <si>
    <t>Equity value (fully diluted)</t>
  </si>
  <si>
    <t>$798M</t>
  </si>
  <si>
    <t>13.08M shares × $61</t>
  </si>
  <si>
    <t>Enterprise value</t>
  </si>
  <si>
    <t>$970M</t>
  </si>
  <si>
    <t>Source: Acerinox press release, Feb 5 2024</t>
  </si>
  <si>
    <t>EV / EBITDA (FY2023A)</t>
  </si>
  <si>
    <t>12.3x</t>
  </si>
  <si>
    <t>Disclosed in deal announcement</t>
  </si>
  <si>
    <t>Premium to 6-month VWAP</t>
  </si>
  <si>
    <t>~22%</t>
  </si>
  <si>
    <t>Feb 2024 announcement</t>
  </si>
  <si>
    <t>Financing</t>
  </si>
  <si>
    <t>Acerinox balance sheet cash</t>
  </si>
  <si>
    <t>No debt raised for acquisition</t>
  </si>
  <si>
    <t>Strategic rationale</t>
  </si>
  <si>
    <t>Expand aerospace alloys in US; $200M further investment</t>
  </si>
  <si>
    <t>Acerinox press release</t>
  </si>
  <si>
    <t>Close date</t>
  </si>
  <si>
    <t>January 2025</t>
  </si>
  <si>
    <t>Completed after regulatory approval</t>
  </si>
  <si>
    <t>Hypothetical PE LBO — This Model (Base Case)</t>
  </si>
  <si>
    <t>PE sponsor equity invested ($M)</t>
  </si>
  <si>
    <t>Same $970M EV as Acerinox deal</t>
  </si>
  <si>
    <t>Same $970M as Acerinox</t>
  </si>
  <si>
    <t>Same 12.3x multiple</t>
  </si>
  <si>
    <t>Total LBO debt ($M)</t>
  </si>
  <si>
    <t>TLB $314M + HY $118M = $432M</t>
  </si>
  <si>
    <t>Leverage at entry (x EBITDA)</t>
  </si>
  <si>
    <t>~5.5x — typical PE industrial</t>
  </si>
  <si>
    <t>Exit year</t>
  </si>
  <si>
    <t>FY2028 = Year 5 hold</t>
  </si>
  <si>
    <t>Exit EBITDA ($M)</t>
  </si>
  <si>
    <t>Model projection</t>
  </si>
  <si>
    <t>Exit EV @ 12x base ($M)</t>
  </si>
  <si>
    <t>Base case exit</t>
  </si>
  <si>
    <t>After debt repayment</t>
  </si>
  <si>
    <t>PE IRR — low (10x exit)</t>
  </si>
  <si>
    <t>Conservative multiple</t>
  </si>
  <si>
    <t>PE IRR — base (12x exit)</t>
  </si>
  <si>
    <t>Inline with entry</t>
  </si>
  <si>
    <t>PE IRR — high (14x exit)</t>
  </si>
  <si>
    <t>Multiple expansion</t>
  </si>
  <si>
    <t>MOIC — base case</t>
  </si>
  <si>
    <t>Total equity return</t>
  </si>
  <si>
    <t>Analytical Conclusion</t>
  </si>
  <si>
    <t>→ At $970M entry EV (12.3x FY2023 EBITDA), a PE buyer using 5.5x leverage could generate 18-24% IRR in a 5-year hold — borderline for top PE funds targeting 20%+.</t>
  </si>
  <si>
    <t>→ The key question: does Haynes's aerospace exposure (54% of revenue) re-rate the exit multiple above entry? If yes (14x), IRR jumps meaningfully — justifying the price.</t>
  </si>
  <si>
    <t>→ Acerinox paid the same price but with no leverage — as a strategic buyer, they did NOT need 20% IRR. They need accretion on their own cost of capital (~8-10%).</t>
  </si>
  <si>
    <t>→ Conclusion: At $970M, Acerinox likely overpaid relative to pure PE returns. A financial sponsor would have required a ~$820-850M entry price to generate 20%+ IRR at base case.</t>
  </si>
  <si>
    <t>→ This model suggests Haynes shareholders captured significant value in the negotiation — Acerinox's $61 final offer vs. the board's $62.50 counter shows both parties understood fair value.</t>
  </si>
  <si>
    <t>Sources: Acerinox press release (Feb 5, 2024) · Haynes 10-K FY2023 · Haynes 8-K filings · BusinessWire. This model is for educational/portfolio purposes only.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</si>
</sst>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$#,##0.0_);($#,##0.0)"/>
    <numFmt numFmtId="165" formatCode="0.0%"/>
    <numFmt numFmtId="166" formatCode="0.0x"/>
    <numFmt numFmtId="167" formatCode="$#,##0.00_);($#,##0.00);-"/>
    <numFmt numFmtId="168" formatCode="$#,##0.0_);($#,##0.0);-"/>
    <numFmt numFmtId="169" formatCode="\$#,##0.0;&quot;($&quot;#,##0.0\);\-"/>
    <numFmt numFmtId="170" formatCode="0x"/>
  </numFmts>
  <fonts count="23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color rgb="FF0000FF"/>
      <name val="Arial"/>
      <scheme val="minor"/>
    </font>
    <font>
      <i/>
      <sz val="8.0"/>
      <color rgb="FF666666"/>
      <name val="Arial"/>
      <scheme val="minor"/>
    </font>
    <font>
      <b/>
      <sz val="12.0"/>
      <color rgb="FFFFFFFF"/>
      <name val="Arial"/>
      <scheme val="minor"/>
    </font>
    <font>
      <sz val="12.0"/>
      <color rgb="FFFFFFFF"/>
      <name val="Arial"/>
      <scheme val="minor"/>
    </font>
    <font>
      <b/>
      <sz val="9.0"/>
      <color rgb="FFFFFFFF"/>
      <name val="Arial"/>
      <scheme val="minor"/>
    </font>
    <font>
      <b/>
      <color rgb="FF073763"/>
      <name val="Arial"/>
      <scheme val="minor"/>
    </font>
    <font>
      <color rgb="FF073763"/>
      <name val="Arial"/>
      <scheme val="minor"/>
    </font>
    <font>
      <color theme="1"/>
      <name val="Arial"/>
    </font>
    <font>
      <color rgb="FF38761D"/>
      <name val="Arial"/>
      <scheme val="minor"/>
    </font>
    <font>
      <b/>
      <color rgb="FF38761D"/>
      <name val="Arial"/>
      <scheme val="minor"/>
    </font>
    <font>
      <i/>
      <sz val="8.0"/>
      <color rgb="FF595959"/>
      <name val="Arial"/>
    </font>
    <font>
      <b/>
      <sz val="9.0"/>
      <color theme="1"/>
      <name val="Arial"/>
      <scheme val="minor"/>
    </font>
    <font>
      <i/>
      <sz val="9.0"/>
      <color rgb="FF595959"/>
      <name val="Arial"/>
    </font>
    <font>
      <i/>
      <sz val="8.0"/>
      <color rgb="FF707070"/>
      <name val="Arial"/>
    </font>
    <font>
      <sz val="11.0"/>
      <color theme="1"/>
      <name val="Calibri"/>
    </font>
    <font>
      <b/>
      <sz val="10.0"/>
      <color rgb="FF073763"/>
      <name val="Arial"/>
      <scheme val="minor"/>
    </font>
    <font>
      <i/>
      <sz val="8.0"/>
      <color rgb="FF595959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1C4587"/>
        <bgColor rgb="FF1C4587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0B5394"/>
        <bgColor rgb="FF0B5394"/>
      </patternFill>
    </fill>
    <fill>
      <patternFill patternType="solid">
        <fgColor rgb="FFDCE6F1"/>
        <bgColor rgb="FFDCE6F1"/>
      </patternFill>
    </fill>
    <fill>
      <patternFill patternType="solid">
        <fgColor rgb="FFD9EAD3"/>
        <bgColor rgb="FFD9EAD3"/>
      </patternFill>
    </fill>
  </fills>
  <borders count="5">
    <border/>
    <border>
      <bottom style="medium">
        <color rgb="FF000000"/>
      </bottom>
    </border>
    <border>
      <bottom style="medium">
        <color rgb="FF073763"/>
      </bottom>
    </border>
    <border>
      <bottom style="thin">
        <color rgb="FFCCCCCC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readingOrder="0"/>
    </xf>
    <xf borderId="1" fillId="4" fontId="3" numFmtId="0" xfId="0" applyAlignment="1" applyBorder="1" applyFill="1" applyFont="1">
      <alignment readingOrder="0"/>
    </xf>
    <xf borderId="1" fillId="0" fontId="4" numFmtId="0" xfId="0" applyBorder="1" applyFont="1"/>
    <xf borderId="0" fillId="0" fontId="5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6" numFmtId="165" xfId="0" applyAlignment="1" applyFont="1" applyNumberFormat="1">
      <alignment readingOrder="0"/>
    </xf>
    <xf borderId="0" fillId="0" fontId="6" numFmtId="0" xfId="0" applyFont="1"/>
    <xf borderId="0" fillId="0" fontId="7" numFmtId="0" xfId="0" applyFont="1"/>
    <xf borderId="0" fillId="0" fontId="6" numFmtId="166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2" fontId="2" numFmtId="0" xfId="0" applyAlignment="1" applyFont="1">
      <alignment horizontal="right" readingOrder="0"/>
    </xf>
    <xf borderId="0" fillId="3" fontId="2" numFmtId="0" xfId="0" applyAlignment="1" applyFont="1">
      <alignment horizontal="right" readingOrder="0"/>
    </xf>
    <xf borderId="1" fillId="5" fontId="3" numFmtId="0" xfId="0" applyAlignment="1" applyBorder="1" applyFill="1" applyFont="1">
      <alignment readingOrder="0"/>
    </xf>
    <xf borderId="1" fillId="5" fontId="5" numFmtId="0" xfId="0" applyBorder="1" applyFont="1"/>
    <xf borderId="0" fillId="0" fontId="5" numFmtId="164" xfId="0" applyFont="1" applyNumberFormat="1"/>
    <xf borderId="0" fillId="0" fontId="5" numFmtId="165" xfId="0" applyFont="1" applyNumberFormat="1"/>
    <xf borderId="1" fillId="6" fontId="3" numFmtId="0" xfId="0" applyAlignment="1" applyBorder="1" applyFill="1" applyFont="1">
      <alignment readingOrder="0"/>
    </xf>
    <xf borderId="1" fillId="6" fontId="6" numFmtId="164" xfId="0" applyAlignment="1" applyBorder="1" applyFont="1" applyNumberFormat="1">
      <alignment readingOrder="0"/>
    </xf>
    <xf borderId="1" fillId="6" fontId="3" numFmtId="164" xfId="0" applyBorder="1" applyFont="1" applyNumberFormat="1"/>
    <xf borderId="0" fillId="0" fontId="3" numFmtId="164" xfId="0" applyFont="1" applyNumberFormat="1"/>
    <xf borderId="0" fillId="0" fontId="5" numFmtId="167" xfId="0" applyAlignment="1" applyFont="1" applyNumberFormat="1">
      <alignment readingOrder="0"/>
    </xf>
    <xf borderId="0" fillId="0" fontId="5" numFmtId="167" xfId="0" applyFont="1" applyNumberFormat="1"/>
    <xf borderId="0" fillId="0" fontId="5" numFmtId="168" xfId="0" applyFont="1" applyNumberFormat="1"/>
    <xf borderId="0" fillId="2" fontId="8" numFmtId="0" xfId="0" applyAlignment="1" applyFont="1">
      <alignment readingOrder="0"/>
    </xf>
    <xf borderId="0" fillId="2" fontId="9" numFmtId="0" xfId="0" applyFont="1"/>
    <xf borderId="0" fillId="7" fontId="10" numFmtId="0" xfId="0" applyAlignment="1" applyFill="1" applyFont="1">
      <alignment readingOrder="0"/>
    </xf>
    <xf borderId="0" fillId="7" fontId="10" numFmtId="0" xfId="0" applyFont="1"/>
    <xf borderId="0" fillId="7" fontId="2" numFmtId="0" xfId="0" applyAlignment="1" applyFont="1">
      <alignment horizontal="center" readingOrder="0"/>
    </xf>
    <xf borderId="2" fillId="4" fontId="11" numFmtId="0" xfId="0" applyAlignment="1" applyBorder="1" applyFont="1">
      <alignment readingOrder="0"/>
    </xf>
    <xf borderId="2" fillId="4" fontId="12" numFmtId="0" xfId="0" applyBorder="1" applyFont="1"/>
    <xf borderId="0" fillId="0" fontId="3" numFmtId="0" xfId="0" applyFont="1"/>
    <xf borderId="0" fillId="6" fontId="3" numFmtId="164" xfId="0" applyFont="1" applyNumberFormat="1"/>
    <xf borderId="3" fillId="0" fontId="13" numFmtId="169" xfId="0" applyAlignment="1" applyBorder="1" applyFont="1" applyNumberFormat="1">
      <alignment horizontal="right"/>
    </xf>
    <xf borderId="0" fillId="0" fontId="5" numFmtId="167" xfId="0" applyFont="1" applyNumberFormat="1"/>
    <xf borderId="0" fillId="0" fontId="5" numFmtId="167" xfId="0" applyAlignment="1" applyFont="1" applyNumberFormat="1">
      <alignment readingOrder="0"/>
    </xf>
    <xf borderId="0" fillId="8" fontId="3" numFmtId="167" xfId="0" applyFill="1" applyFont="1" applyNumberFormat="1"/>
    <xf borderId="2" fillId="4" fontId="11" numFmtId="0" xfId="0" applyBorder="1" applyFont="1"/>
    <xf borderId="0" fillId="8" fontId="3" numFmtId="164" xfId="0" applyFont="1" applyNumberFormat="1"/>
    <xf borderId="0" fillId="0" fontId="5" numFmtId="166" xfId="0" applyFont="1" applyNumberFormat="1"/>
    <xf borderId="0" fillId="8" fontId="3" numFmtId="169" xfId="0" applyFont="1" applyNumberFormat="1"/>
    <xf borderId="0" fillId="2" fontId="8" numFmtId="0" xfId="0" applyFont="1"/>
    <xf borderId="2" fillId="4" fontId="5" numFmtId="0" xfId="0" applyBorder="1" applyFont="1"/>
    <xf borderId="0" fillId="0" fontId="14" numFmtId="164" xfId="0" applyFont="1" applyNumberFormat="1"/>
    <xf borderId="2" fillId="8" fontId="3" numFmtId="0" xfId="0" applyAlignment="1" applyBorder="1" applyFont="1">
      <alignment readingOrder="0"/>
    </xf>
    <xf borderId="2" fillId="8" fontId="3" numFmtId="0" xfId="0" applyBorder="1" applyFont="1"/>
    <xf borderId="2" fillId="8" fontId="3" numFmtId="164" xfId="0" applyBorder="1" applyFont="1" applyNumberFormat="1"/>
    <xf borderId="0" fillId="0" fontId="14" numFmtId="169" xfId="0" applyFont="1" applyNumberFormat="1"/>
    <xf borderId="0" fillId="0" fontId="14" numFmtId="168" xfId="0" applyFont="1" applyNumberFormat="1"/>
    <xf borderId="0" fillId="0" fontId="5" numFmtId="0" xfId="0" applyFont="1"/>
    <xf borderId="0" fillId="9" fontId="3" numFmtId="164" xfId="0" applyFill="1" applyFont="1" applyNumberFormat="1"/>
    <xf borderId="4" fillId="0" fontId="5" numFmtId="0" xfId="0" applyAlignment="1" applyBorder="1" applyFont="1">
      <alignment readingOrder="0"/>
    </xf>
    <xf borderId="4" fillId="0" fontId="14" numFmtId="164" xfId="0" applyBorder="1" applyFont="1" applyNumberFormat="1"/>
    <xf borderId="4" fillId="0" fontId="5" numFmtId="0" xfId="0" applyBorder="1" applyFont="1"/>
    <xf borderId="2" fillId="8" fontId="15" numFmtId="164" xfId="0" applyBorder="1" applyFont="1" applyNumberFormat="1"/>
    <xf borderId="0" fillId="0" fontId="14" numFmtId="166" xfId="0" applyFont="1" applyNumberFormat="1"/>
    <xf borderId="0" fillId="7" fontId="2" numFmtId="0" xfId="0" applyAlignment="1" applyFont="1">
      <alignment horizontal="right" readingOrder="0"/>
    </xf>
    <xf borderId="0" fillId="0" fontId="14" numFmtId="164" xfId="0" applyAlignment="1" applyFont="1" applyNumberFormat="1">
      <alignment readingOrder="0"/>
    </xf>
    <xf borderId="0" fillId="0" fontId="14" numFmtId="166" xfId="0" applyAlignment="1" applyFont="1" applyNumberFormat="1">
      <alignment readingOrder="0"/>
    </xf>
    <xf borderId="0" fillId="0" fontId="3" numFmtId="168" xfId="0" applyFont="1" applyNumberFormat="1"/>
    <xf borderId="2" fillId="8" fontId="3" numFmtId="168" xfId="0" applyBorder="1" applyFont="1" applyNumberFormat="1"/>
    <xf borderId="2" fillId="4" fontId="12" numFmtId="0" xfId="0" applyAlignment="1" applyBorder="1" applyFont="1">
      <alignment readingOrder="0"/>
    </xf>
    <xf borderId="0" fillId="0" fontId="14" numFmtId="0" xfId="0" applyFont="1"/>
    <xf borderId="2" fillId="8" fontId="3" numFmtId="165" xfId="0" applyBorder="1" applyFont="1" applyNumberFormat="1"/>
    <xf borderId="0" fillId="0" fontId="16" numFmtId="0" xfId="0" applyAlignment="1" applyFont="1">
      <alignment vertical="bottom"/>
    </xf>
    <xf borderId="2" fillId="8" fontId="3" numFmtId="166" xfId="0" applyBorder="1" applyFont="1" applyNumberFormat="1"/>
    <xf borderId="4" fillId="0" fontId="5" numFmtId="164" xfId="0" applyBorder="1" applyFont="1" applyNumberFormat="1"/>
    <xf borderId="0" fillId="0" fontId="11" numFmtId="0" xfId="0" applyAlignment="1" applyFont="1">
      <alignment readingOrder="0"/>
    </xf>
    <xf borderId="0" fillId="0" fontId="11" numFmtId="0" xfId="0" applyFont="1"/>
    <xf borderId="0" fillId="0" fontId="17" numFmtId="0" xfId="0" applyAlignment="1" applyFont="1">
      <alignment readingOrder="0"/>
    </xf>
    <xf borderId="0" fillId="7" fontId="2" numFmtId="170" xfId="0" applyAlignment="1" applyFont="1" applyNumberFormat="1">
      <alignment readingOrder="0"/>
    </xf>
    <xf borderId="0" fillId="2" fontId="2" numFmtId="170" xfId="0" applyAlignment="1" applyFont="1" applyNumberFormat="1">
      <alignment readingOrder="0"/>
    </xf>
    <xf borderId="0" fillId="0" fontId="3" numFmtId="165" xfId="0" applyFont="1" applyNumberFormat="1"/>
    <xf borderId="0" fillId="0" fontId="3" numFmtId="165" xfId="0" applyAlignment="1" applyFont="1" applyNumberFormat="1">
      <alignment readingOrder="0"/>
    </xf>
    <xf borderId="0" fillId="7" fontId="2" numFmtId="165" xfId="0" applyAlignment="1" applyFont="1" applyNumberFormat="1">
      <alignment readingOrder="0"/>
    </xf>
    <xf borderId="0" fillId="2" fontId="2" numFmtId="165" xfId="0" applyAlignment="1" applyFont="1" applyNumberFormat="1">
      <alignment readingOrder="0"/>
    </xf>
    <xf borderId="0" fillId="0" fontId="3" numFmtId="166" xfId="0" applyFont="1" applyNumberFormat="1"/>
    <xf borderId="0" fillId="0" fontId="18" numFmtId="0" xfId="0" applyAlignment="1" applyFont="1">
      <alignment vertical="bottom"/>
    </xf>
    <xf borderId="0" fillId="9" fontId="3" numFmtId="168" xfId="0" applyFont="1" applyNumberFormat="1"/>
    <xf borderId="0" fillId="0" fontId="19" numFmtId="0" xfId="0" applyAlignment="1" applyFont="1">
      <alignment vertical="bottom"/>
    </xf>
    <xf borderId="0" fillId="0" fontId="20" numFmtId="0" xfId="0" applyAlignment="1" applyFont="1">
      <alignment vertical="bottom"/>
    </xf>
    <xf borderId="0" fillId="9" fontId="3" numFmtId="167" xfId="0" applyFont="1" applyNumberFormat="1"/>
    <xf borderId="2" fillId="4" fontId="21" numFmtId="0" xfId="0" applyAlignment="1" applyBorder="1" applyFont="1">
      <alignment readingOrder="0"/>
    </xf>
    <xf borderId="2" fillId="4" fontId="21" numFmtId="0" xfId="0" applyBorder="1" applyFont="1"/>
    <xf borderId="0" fillId="0" fontId="22" numFmtId="0" xfId="0" applyAlignment="1" applyFont="1">
      <alignment readingOrder="0"/>
    </xf>
    <xf borderId="0" fillId="0" fontId="15" numFmtId="164" xfId="0" applyFont="1" applyNumberFormat="1"/>
    <xf borderId="0" fillId="0" fontId="15" numFmtId="166" xfId="0" applyFont="1" applyNumberFormat="1"/>
    <xf borderId="0" fillId="0" fontId="15" numFmtId="0" xfId="0" applyFont="1"/>
    <xf borderId="0" fillId="0" fontId="15" numFmtId="168" xfId="0" applyFont="1" applyNumberFormat="1"/>
    <xf borderId="2" fillId="8" fontId="5" numFmtId="0" xfId="0" applyAlignment="1" applyBorder="1" applyFont="1">
      <alignment readingOrder="0"/>
    </xf>
    <xf borderId="2" fillId="8" fontId="15" numFmtId="165" xfId="0" applyBorder="1" applyFont="1" applyNumberFormat="1"/>
    <xf borderId="2" fillId="8" fontId="22" numFmtId="0" xfId="0" applyAlignment="1" applyBorder="1" applyFont="1">
      <alignment readingOrder="0"/>
    </xf>
    <xf borderId="0" fillId="0" fontId="15" numFmtId="165" xfId="0" applyFont="1" applyNumberFormat="1"/>
    <xf borderId="2" fillId="8" fontId="15" numFmtId="166" xfId="0" applyBorder="1" applyFont="1" applyNumberFormat="1"/>
    <xf borderId="0" fillId="0" fontId="16" numFmtId="0" xfId="0" applyAlignment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73763"/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3" max="3" width="38.75"/>
  </cols>
  <sheetData>
    <row r="1">
      <c r="A1" s="1" t="s">
        <v>0</v>
      </c>
    </row>
    <row r="2">
      <c r="A2" s="2" t="s">
        <v>1</v>
      </c>
    </row>
    <row r="3">
      <c r="B3" s="3" t="s">
        <v>2</v>
      </c>
      <c r="C3" s="4" t="s">
        <v>3</v>
      </c>
    </row>
    <row r="4">
      <c r="A4" s="5" t="s">
        <v>4</v>
      </c>
      <c r="B4" s="6"/>
      <c r="C4" s="6"/>
    </row>
    <row r="5">
      <c r="A5" s="7" t="s">
        <v>5</v>
      </c>
      <c r="B5" s="8">
        <v>590.0</v>
      </c>
      <c r="C5" s="9" t="s">
        <v>6</v>
      </c>
    </row>
    <row r="6">
      <c r="A6" s="7" t="s">
        <v>7</v>
      </c>
      <c r="B6" s="8">
        <v>614.3</v>
      </c>
      <c r="C6" s="9" t="s">
        <v>8</v>
      </c>
    </row>
    <row r="7">
      <c r="A7" s="7" t="s">
        <v>9</v>
      </c>
      <c r="B7" s="8">
        <v>78.5</v>
      </c>
      <c r="C7" s="9" t="s">
        <v>10</v>
      </c>
    </row>
    <row r="8">
      <c r="A8" s="7" t="s">
        <v>11</v>
      </c>
      <c r="B8" s="8">
        <v>18.0</v>
      </c>
      <c r="C8" s="9" t="s">
        <v>12</v>
      </c>
    </row>
    <row r="9">
      <c r="A9" s="7" t="s">
        <v>13</v>
      </c>
      <c r="B9" s="8">
        <v>24.0</v>
      </c>
      <c r="C9" s="9" t="s">
        <v>14</v>
      </c>
    </row>
    <row r="10">
      <c r="A10" s="7" t="s">
        <v>15</v>
      </c>
      <c r="B10" s="10">
        <v>0.185</v>
      </c>
      <c r="C10" s="9" t="s">
        <v>16</v>
      </c>
    </row>
    <row r="11">
      <c r="A11" s="7" t="s">
        <v>17</v>
      </c>
      <c r="B11" s="10">
        <v>0.25</v>
      </c>
      <c r="C11" s="9" t="s">
        <v>18</v>
      </c>
    </row>
    <row r="12">
      <c r="A12" s="7" t="s">
        <v>19</v>
      </c>
      <c r="B12" s="10">
        <v>0.03</v>
      </c>
      <c r="C12" s="9" t="s">
        <v>20</v>
      </c>
    </row>
    <row r="13">
      <c r="A13" s="7" t="s">
        <v>21</v>
      </c>
      <c r="B13" s="10">
        <v>0.03</v>
      </c>
      <c r="C13" s="9" t="s">
        <v>22</v>
      </c>
    </row>
    <row r="14">
      <c r="B14" s="11"/>
      <c r="C14" s="12"/>
    </row>
    <row r="15">
      <c r="A15" s="5" t="s">
        <v>23</v>
      </c>
      <c r="B15" s="6"/>
      <c r="C15" s="6"/>
    </row>
    <row r="16">
      <c r="A16" s="7" t="s">
        <v>24</v>
      </c>
      <c r="B16" s="8">
        <v>970.0</v>
      </c>
      <c r="C16" s="9" t="s">
        <v>25</v>
      </c>
    </row>
    <row r="17">
      <c r="A17" s="7" t="s">
        <v>26</v>
      </c>
      <c r="B17" s="13">
        <v>12.3</v>
      </c>
      <c r="C17" s="9" t="s">
        <v>27</v>
      </c>
    </row>
    <row r="18">
      <c r="A18" s="7" t="s">
        <v>28</v>
      </c>
      <c r="B18" s="8">
        <v>172.0</v>
      </c>
      <c r="C18" s="9" t="s">
        <v>29</v>
      </c>
    </row>
    <row r="19">
      <c r="A19" s="7" t="s">
        <v>30</v>
      </c>
      <c r="B19" s="8">
        <v>19.0</v>
      </c>
      <c r="C19" s="9" t="s">
        <v>31</v>
      </c>
    </row>
    <row r="20">
      <c r="A20" s="7" t="s">
        <v>32</v>
      </c>
      <c r="B20" s="8">
        <v>61.0</v>
      </c>
      <c r="C20" s="9" t="s">
        <v>33</v>
      </c>
    </row>
    <row r="21">
      <c r="A21" s="7" t="s">
        <v>34</v>
      </c>
      <c r="B21" s="8">
        <v>13.1</v>
      </c>
      <c r="C21" s="9" t="s">
        <v>35</v>
      </c>
    </row>
    <row r="22">
      <c r="B22" s="11"/>
      <c r="C22" s="12"/>
    </row>
    <row r="23">
      <c r="A23" s="5" t="s">
        <v>36</v>
      </c>
      <c r="B23" s="6"/>
      <c r="C23" s="6"/>
    </row>
    <row r="24">
      <c r="A24" s="7" t="s">
        <v>37</v>
      </c>
      <c r="B24" s="8">
        <v>314.0</v>
      </c>
      <c r="C24" s="9" t="s">
        <v>38</v>
      </c>
    </row>
    <row r="25">
      <c r="A25" s="7" t="s">
        <v>39</v>
      </c>
      <c r="B25" s="10">
        <v>0.085</v>
      </c>
      <c r="C25" s="9" t="s">
        <v>40</v>
      </c>
    </row>
    <row r="26">
      <c r="A26" s="7" t="s">
        <v>41</v>
      </c>
      <c r="B26" s="10">
        <v>0.01</v>
      </c>
      <c r="C26" s="9" t="s">
        <v>42</v>
      </c>
    </row>
    <row r="27">
      <c r="A27" s="7" t="s">
        <v>43</v>
      </c>
      <c r="B27" s="8">
        <v>118.0</v>
      </c>
      <c r="C27" s="9" t="s">
        <v>44</v>
      </c>
    </row>
    <row r="28">
      <c r="A28" s="7" t="s">
        <v>45</v>
      </c>
      <c r="B28" s="10">
        <v>0.095</v>
      </c>
      <c r="C28" s="9" t="s">
        <v>46</v>
      </c>
    </row>
    <row r="29">
      <c r="A29" s="7" t="s">
        <v>47</v>
      </c>
      <c r="B29" s="8">
        <v>75.0</v>
      </c>
      <c r="C29" s="9" t="s">
        <v>48</v>
      </c>
    </row>
    <row r="30">
      <c r="B30" s="11"/>
      <c r="C30" s="12"/>
    </row>
    <row r="31">
      <c r="A31" s="5" t="s">
        <v>49</v>
      </c>
      <c r="B31" s="6"/>
      <c r="C31" s="6"/>
    </row>
    <row r="32">
      <c r="A32" s="7" t="s">
        <v>50</v>
      </c>
      <c r="B32" s="10">
        <v>0.05</v>
      </c>
      <c r="C32" s="9" t="s">
        <v>51</v>
      </c>
    </row>
    <row r="33">
      <c r="A33" s="7" t="s">
        <v>52</v>
      </c>
      <c r="B33" s="10">
        <v>0.07</v>
      </c>
      <c r="C33" s="9" t="s">
        <v>53</v>
      </c>
    </row>
    <row r="34">
      <c r="A34" s="7" t="s">
        <v>54</v>
      </c>
      <c r="B34" s="10">
        <v>0.08</v>
      </c>
      <c r="C34" s="9" t="s">
        <v>55</v>
      </c>
    </row>
    <row r="35">
      <c r="A35" s="7" t="s">
        <v>56</v>
      </c>
      <c r="B35" s="10">
        <v>0.07</v>
      </c>
      <c r="C35" s="9" t="s">
        <v>57</v>
      </c>
    </row>
    <row r="36">
      <c r="A36" s="7" t="s">
        <v>58</v>
      </c>
      <c r="B36" s="10">
        <v>0.13</v>
      </c>
      <c r="C36" s="9" t="s">
        <v>59</v>
      </c>
    </row>
    <row r="37">
      <c r="A37" s="7" t="s">
        <v>60</v>
      </c>
      <c r="B37" s="10">
        <v>0.145</v>
      </c>
      <c r="C37" s="9" t="s">
        <v>61</v>
      </c>
    </row>
    <row r="38">
      <c r="A38" s="7" t="s">
        <v>62</v>
      </c>
      <c r="B38" s="10">
        <v>0.16</v>
      </c>
      <c r="C38" s="9" t="s">
        <v>63</v>
      </c>
    </row>
    <row r="39">
      <c r="A39" s="7" t="s">
        <v>64</v>
      </c>
      <c r="B39" s="10">
        <v>0.165</v>
      </c>
      <c r="C39" s="9" t="s">
        <v>65</v>
      </c>
    </row>
    <row r="40">
      <c r="B40" s="11"/>
      <c r="C40" s="12"/>
    </row>
    <row r="41">
      <c r="A41" s="5" t="s">
        <v>66</v>
      </c>
      <c r="B41" s="6"/>
      <c r="C41" s="6"/>
    </row>
    <row r="42">
      <c r="A42" s="7" t="s">
        <v>67</v>
      </c>
      <c r="B42" s="14">
        <v>5.0</v>
      </c>
      <c r="C42" s="9" t="s">
        <v>68</v>
      </c>
    </row>
    <row r="43">
      <c r="A43" s="7" t="s">
        <v>69</v>
      </c>
      <c r="B43" s="13">
        <v>10.0</v>
      </c>
      <c r="C43" s="9" t="s">
        <v>70</v>
      </c>
    </row>
    <row r="44">
      <c r="A44" s="7" t="s">
        <v>71</v>
      </c>
      <c r="B44" s="13">
        <v>12.0</v>
      </c>
      <c r="C44" s="9" t="s">
        <v>72</v>
      </c>
    </row>
    <row r="45">
      <c r="A45" s="7" t="s">
        <v>73</v>
      </c>
      <c r="B45" s="13">
        <v>14.0</v>
      </c>
      <c r="C45" s="9" t="s">
        <v>74</v>
      </c>
    </row>
    <row r="46">
      <c r="A46" s="7" t="s">
        <v>75</v>
      </c>
      <c r="B46" s="8">
        <v>15.0</v>
      </c>
      <c r="C46" s="9" t="s">
        <v>76</v>
      </c>
    </row>
  </sheetData>
  <mergeCells count="7">
    <mergeCell ref="A1:C1"/>
    <mergeCell ref="A2:C2"/>
    <mergeCell ref="A4:C4"/>
    <mergeCell ref="A15:C15"/>
    <mergeCell ref="A23:C23"/>
    <mergeCell ref="A31:C31"/>
    <mergeCell ref="A41:C4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</sheetPr>
  <sheetViews>
    <sheetView workbookViewId="0"/>
  </sheetViews>
  <sheetFormatPr customHeight="1" defaultColWidth="12.63" defaultRowHeight="15.75"/>
  <cols>
    <col customWidth="1" min="1" max="1" width="32.88"/>
  </cols>
  <sheetData>
    <row r="1">
      <c r="A1" s="1" t="s">
        <v>77</v>
      </c>
    </row>
    <row r="2">
      <c r="A2" s="2" t="s">
        <v>78</v>
      </c>
    </row>
    <row r="4">
      <c r="B4" s="15" t="s">
        <v>79</v>
      </c>
      <c r="C4" s="15" t="s">
        <v>80</v>
      </c>
      <c r="D4" s="15" t="s">
        <v>81</v>
      </c>
      <c r="E4" s="16" t="s">
        <v>82</v>
      </c>
      <c r="F4" s="16" t="s">
        <v>83</v>
      </c>
      <c r="G4" s="16" t="s">
        <v>84</v>
      </c>
      <c r="H4" s="16" t="s">
        <v>85</v>
      </c>
      <c r="I4" s="16" t="s">
        <v>86</v>
      </c>
      <c r="J4" s="2" t="s">
        <v>87</v>
      </c>
    </row>
    <row r="5">
      <c r="A5" s="17" t="s">
        <v>88</v>
      </c>
      <c r="B5" s="18"/>
      <c r="C5" s="18"/>
      <c r="D5" s="18"/>
      <c r="E5" s="18"/>
      <c r="F5" s="18"/>
      <c r="G5" s="18"/>
      <c r="H5" s="18"/>
      <c r="I5" s="18"/>
      <c r="J5" s="18"/>
    </row>
    <row r="6">
      <c r="A6" s="7" t="s">
        <v>89</v>
      </c>
      <c r="B6" s="8">
        <v>380.5</v>
      </c>
      <c r="C6" s="8">
        <v>490.5</v>
      </c>
      <c r="D6" s="8">
        <v>590.0</v>
      </c>
      <c r="E6" s="19">
        <f>Assumptions!B6</f>
        <v>614.3</v>
      </c>
      <c r="F6" s="19">
        <f>E6*(1+Assumptions!B32)</f>
        <v>645.015</v>
      </c>
      <c r="G6" s="19">
        <f>F6*(1+Assumptions!B33)</f>
        <v>690.16605</v>
      </c>
      <c r="H6" s="19">
        <f>G6*(1+Assumptions!B34)</f>
        <v>745.379334</v>
      </c>
      <c r="I6" s="19">
        <f>H6*(1+Assumptions!B35)</f>
        <v>797.5558874</v>
      </c>
      <c r="J6" s="7" t="s">
        <v>90</v>
      </c>
    </row>
    <row r="7">
      <c r="A7" s="7" t="s">
        <v>91</v>
      </c>
      <c r="C7" s="20">
        <f t="shared" ref="C7:I7" si="1">(C6-B6)/B6</f>
        <v>0.2890932983</v>
      </c>
      <c r="D7" s="20">
        <f t="shared" si="1"/>
        <v>0.2028542304</v>
      </c>
      <c r="E7" s="20">
        <f t="shared" si="1"/>
        <v>0.04118644068</v>
      </c>
      <c r="F7" s="20">
        <f t="shared" si="1"/>
        <v>0.05</v>
      </c>
      <c r="G7" s="20">
        <f t="shared" si="1"/>
        <v>0.07</v>
      </c>
      <c r="H7" s="20">
        <f t="shared" si="1"/>
        <v>0.08</v>
      </c>
      <c r="I7" s="20">
        <f t="shared" si="1"/>
        <v>0.07</v>
      </c>
    </row>
    <row r="8">
      <c r="A8" s="7" t="s">
        <v>92</v>
      </c>
      <c r="B8" s="8">
        <v>44.6</v>
      </c>
      <c r="C8" s="8">
        <v>105.8</v>
      </c>
      <c r="D8" s="8">
        <v>109.8</v>
      </c>
      <c r="E8" s="19">
        <f t="shared" ref="E8:I8" si="2">E6*0.185</f>
        <v>113.6455</v>
      </c>
      <c r="F8" s="19">
        <f t="shared" si="2"/>
        <v>119.327775</v>
      </c>
      <c r="G8" s="19">
        <f t="shared" si="2"/>
        <v>127.6807193</v>
      </c>
      <c r="H8" s="19">
        <f t="shared" si="2"/>
        <v>137.8951768</v>
      </c>
      <c r="I8" s="19">
        <f t="shared" si="2"/>
        <v>147.5478392</v>
      </c>
    </row>
    <row r="9">
      <c r="A9" s="7" t="s">
        <v>93</v>
      </c>
      <c r="B9" s="20">
        <f t="shared" ref="B9:I9" si="3">IF(B6=0,0,B8/B6)</f>
        <v>0.1172141919</v>
      </c>
      <c r="C9" s="20">
        <f t="shared" si="3"/>
        <v>0.2156982671</v>
      </c>
      <c r="D9" s="20">
        <f t="shared" si="3"/>
        <v>0.1861016949</v>
      </c>
      <c r="E9" s="20">
        <f t="shared" si="3"/>
        <v>0.185</v>
      </c>
      <c r="F9" s="20">
        <f t="shared" si="3"/>
        <v>0.185</v>
      </c>
      <c r="G9" s="20">
        <f t="shared" si="3"/>
        <v>0.185</v>
      </c>
      <c r="H9" s="20">
        <f t="shared" si="3"/>
        <v>0.185</v>
      </c>
      <c r="I9" s="20">
        <f t="shared" si="3"/>
        <v>0.185</v>
      </c>
    </row>
    <row r="10">
      <c r="A10" s="7" t="s">
        <v>94</v>
      </c>
      <c r="B10" s="8">
        <v>29.4</v>
      </c>
      <c r="C10" s="8">
        <v>27.6</v>
      </c>
      <c r="D10" s="8">
        <v>30.2</v>
      </c>
      <c r="E10" s="19">
        <f t="shared" ref="E10:I10" si="4">E6*0.055</f>
        <v>33.7865</v>
      </c>
      <c r="F10" s="19">
        <f t="shared" si="4"/>
        <v>35.475825</v>
      </c>
      <c r="G10" s="19">
        <f t="shared" si="4"/>
        <v>37.95913275</v>
      </c>
      <c r="H10" s="19">
        <f t="shared" si="4"/>
        <v>40.99586337</v>
      </c>
      <c r="I10" s="19">
        <f t="shared" si="4"/>
        <v>43.86557381</v>
      </c>
    </row>
    <row r="11">
      <c r="A11" s="21" t="s">
        <v>95</v>
      </c>
      <c r="B11" s="22">
        <v>14.2</v>
      </c>
      <c r="C11" s="22">
        <v>54.1</v>
      </c>
      <c r="D11" s="22">
        <v>78.5</v>
      </c>
      <c r="E11" s="23">
        <f>E6*Assumptions!B36</f>
        <v>79.859</v>
      </c>
      <c r="F11" s="23">
        <f>F6*Assumptions!B36</f>
        <v>83.85195</v>
      </c>
      <c r="G11" s="23">
        <f>G6*Assumptions!B37</f>
        <v>100.0740773</v>
      </c>
      <c r="H11" s="23">
        <f>H6*Assumptions!B38</f>
        <v>119.2606934</v>
      </c>
      <c r="I11" s="23">
        <f>I6*Assumptions!B39</f>
        <v>131.5967214</v>
      </c>
      <c r="J11" s="7" t="s">
        <v>96</v>
      </c>
    </row>
    <row r="12">
      <c r="A12" s="7" t="s">
        <v>97</v>
      </c>
      <c r="B12" s="20">
        <f t="shared" ref="B12:I12" si="5">IF(B6=0,0,B11/B6)</f>
        <v>0.03731931669</v>
      </c>
      <c r="C12" s="20">
        <f t="shared" si="5"/>
        <v>0.1102956167</v>
      </c>
      <c r="D12" s="20">
        <f t="shared" si="5"/>
        <v>0.1330508475</v>
      </c>
      <c r="E12" s="20">
        <f t="shared" si="5"/>
        <v>0.13</v>
      </c>
      <c r="F12" s="20">
        <f t="shared" si="5"/>
        <v>0.13</v>
      </c>
      <c r="G12" s="20">
        <f t="shared" si="5"/>
        <v>0.145</v>
      </c>
      <c r="H12" s="20">
        <f t="shared" si="5"/>
        <v>0.16</v>
      </c>
      <c r="I12" s="20">
        <f t="shared" si="5"/>
        <v>0.165</v>
      </c>
    </row>
    <row r="13">
      <c r="A13" s="7" t="s">
        <v>98</v>
      </c>
      <c r="B13" s="19">
        <f>-B6*Assumptions!B12</f>
        <v>-11.415</v>
      </c>
      <c r="C13" s="19">
        <f>-C6*Assumptions!B12</f>
        <v>-14.715</v>
      </c>
      <c r="D13" s="19">
        <f>-D6*Assumptions!B12</f>
        <v>-17.7</v>
      </c>
      <c r="E13" s="19">
        <f>-E6*Assumptions!B12</f>
        <v>-18.429</v>
      </c>
      <c r="F13" s="19">
        <f>-F6*Assumptions!B12</f>
        <v>-19.35045</v>
      </c>
      <c r="G13" s="19">
        <f>-G6*Assumptions!B12</f>
        <v>-20.7049815</v>
      </c>
      <c r="H13" s="19">
        <f>-H6*Assumptions!B12</f>
        <v>-22.36138002</v>
      </c>
      <c r="I13" s="19">
        <f>-I6*Assumptions!B12</f>
        <v>-23.92667662</v>
      </c>
    </row>
    <row r="14">
      <c r="A14" s="4" t="s">
        <v>99</v>
      </c>
      <c r="B14" s="24">
        <f t="shared" ref="B14:I14" si="6">B11+B13</f>
        <v>2.785</v>
      </c>
      <c r="C14" s="24">
        <f t="shared" si="6"/>
        <v>39.385</v>
      </c>
      <c r="D14" s="24">
        <f t="shared" si="6"/>
        <v>60.8</v>
      </c>
      <c r="E14" s="24">
        <f t="shared" si="6"/>
        <v>61.43</v>
      </c>
      <c r="F14" s="24">
        <f t="shared" si="6"/>
        <v>64.5015</v>
      </c>
      <c r="G14" s="24">
        <f t="shared" si="6"/>
        <v>79.36909575</v>
      </c>
      <c r="H14" s="24">
        <f t="shared" si="6"/>
        <v>96.89931342</v>
      </c>
      <c r="I14" s="24">
        <f t="shared" si="6"/>
        <v>107.6700448</v>
      </c>
    </row>
    <row r="15">
      <c r="A15" s="7" t="s">
        <v>100</v>
      </c>
      <c r="B15" s="25">
        <v>0.0</v>
      </c>
      <c r="C15" s="25">
        <v>0.0</v>
      </c>
      <c r="D15" s="25">
        <v>0.0</v>
      </c>
      <c r="E15" s="26">
        <f>'Debt Schedule'!E20</f>
        <v>-37.76655</v>
      </c>
      <c r="F15" s="26">
        <f>'Debt Schedule'!F20</f>
        <v>-37.5009845</v>
      </c>
      <c r="G15" s="26">
        <f>'Debt Schedule'!G20</f>
        <v>-37.23807466</v>
      </c>
      <c r="H15" s="26">
        <f>'Debt Schedule'!H20</f>
        <v>-36.97779391</v>
      </c>
      <c r="I15" s="26">
        <f>'Debt Schedule'!I20</f>
        <v>-36.72011597</v>
      </c>
    </row>
    <row r="16">
      <c r="A16" s="7" t="s">
        <v>101</v>
      </c>
      <c r="B16" s="19">
        <f t="shared" ref="B16:I16" si="7">B14+B15</f>
        <v>2.785</v>
      </c>
      <c r="C16" s="19">
        <f t="shared" si="7"/>
        <v>39.385</v>
      </c>
      <c r="D16" s="19">
        <f t="shared" si="7"/>
        <v>60.8</v>
      </c>
      <c r="E16" s="19">
        <f t="shared" si="7"/>
        <v>23.66345</v>
      </c>
      <c r="F16" s="19">
        <f t="shared" si="7"/>
        <v>27.0005155</v>
      </c>
      <c r="G16" s="19">
        <f t="shared" si="7"/>
        <v>42.1310211</v>
      </c>
      <c r="H16" s="19">
        <f t="shared" si="7"/>
        <v>59.92151951</v>
      </c>
      <c r="I16" s="19">
        <f t="shared" si="7"/>
        <v>70.94992883</v>
      </c>
    </row>
    <row r="17">
      <c r="A17" s="7" t="s">
        <v>102</v>
      </c>
      <c r="B17" s="27">
        <f>IF(B16&gt;0,B16*(-Assumptions!B11),0)</f>
        <v>-0.69625</v>
      </c>
      <c r="C17" s="27">
        <f>IF(C16&gt;0,C16*(-Assumptions!B11),0)</f>
        <v>-9.84625</v>
      </c>
      <c r="D17" s="27">
        <f>IF(D16&gt;0,D16*(-Assumptions!B11),0)</f>
        <v>-15.2</v>
      </c>
      <c r="E17" s="27">
        <f>IF(E16&gt;0,E16*(-Assumptions!B11),0)</f>
        <v>-5.9158625</v>
      </c>
      <c r="F17" s="27">
        <f>IF(F16&gt;0,F16*(-Assumptions!B11),0)</f>
        <v>-6.750128875</v>
      </c>
      <c r="G17" s="27">
        <f>IF(G16&gt;0,G16*(-Assumptions!B11),0)</f>
        <v>-10.53275527</v>
      </c>
      <c r="H17" s="27">
        <f>IF(H16&gt;0,H16*(-Assumptions!B11),0)</f>
        <v>-14.98037988</v>
      </c>
      <c r="I17" s="27">
        <f>IF(I16&gt;0,I16*(-Assumptions!B11),0)</f>
        <v>-17.73748221</v>
      </c>
    </row>
    <row r="18">
      <c r="A18" s="21" t="s">
        <v>103</v>
      </c>
      <c r="B18" s="23">
        <f t="shared" ref="B18:I18" si="8">B16+B17</f>
        <v>2.08875</v>
      </c>
      <c r="C18" s="23">
        <f t="shared" si="8"/>
        <v>29.53875</v>
      </c>
      <c r="D18" s="23">
        <f t="shared" si="8"/>
        <v>45.6</v>
      </c>
      <c r="E18" s="23">
        <f t="shared" si="8"/>
        <v>17.7475875</v>
      </c>
      <c r="F18" s="23">
        <f t="shared" si="8"/>
        <v>20.25038663</v>
      </c>
      <c r="G18" s="23">
        <f t="shared" si="8"/>
        <v>31.59826582</v>
      </c>
      <c r="H18" s="23">
        <f t="shared" si="8"/>
        <v>44.94113963</v>
      </c>
      <c r="I18" s="23">
        <f t="shared" si="8"/>
        <v>53.21244662</v>
      </c>
    </row>
    <row r="19">
      <c r="A19" s="17" t="s">
        <v>104</v>
      </c>
      <c r="B19" s="18"/>
      <c r="C19" s="18"/>
      <c r="D19" s="18"/>
      <c r="E19" s="18"/>
      <c r="F19" s="18"/>
      <c r="G19" s="18"/>
      <c r="H19" s="18"/>
      <c r="I19" s="18"/>
    </row>
  </sheetData>
  <mergeCells count="2">
    <mergeCell ref="A1:J1"/>
    <mergeCell ref="A2:J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105</v>
      </c>
      <c r="B1" s="29"/>
      <c r="C1" s="29"/>
      <c r="D1" s="29"/>
      <c r="E1" s="29"/>
      <c r="F1" s="29"/>
      <c r="G1" s="29"/>
      <c r="H1" s="29"/>
      <c r="I1" s="29"/>
      <c r="J1" s="29"/>
    </row>
    <row r="2">
      <c r="A2" s="30" t="s">
        <v>106</v>
      </c>
      <c r="B2" s="31"/>
      <c r="C2" s="31"/>
      <c r="D2" s="31"/>
      <c r="E2" s="31"/>
      <c r="F2" s="31"/>
      <c r="G2" s="31"/>
      <c r="H2" s="31"/>
      <c r="I2" s="31"/>
      <c r="J2" s="31"/>
    </row>
    <row r="4">
      <c r="E4" s="32" t="s">
        <v>82</v>
      </c>
      <c r="F4" s="32" t="s">
        <v>83</v>
      </c>
      <c r="G4" s="32" t="s">
        <v>84</v>
      </c>
      <c r="H4" s="32" t="s">
        <v>85</v>
      </c>
      <c r="I4" s="32" t="s">
        <v>86</v>
      </c>
    </row>
    <row r="5">
      <c r="A5" s="33" t="s">
        <v>107</v>
      </c>
      <c r="B5" s="34"/>
      <c r="C5" s="34"/>
      <c r="D5" s="34"/>
      <c r="E5" s="34"/>
      <c r="F5" s="34"/>
      <c r="G5" s="34"/>
      <c r="H5" s="34"/>
      <c r="I5" s="34"/>
    </row>
    <row r="6">
      <c r="A6" s="7" t="s">
        <v>108</v>
      </c>
      <c r="E6" s="19">
        <f>Assumptions!B24</f>
        <v>314</v>
      </c>
      <c r="F6" s="19">
        <f t="shared" ref="F6:I6" si="1">E9</f>
        <v>310.86</v>
      </c>
      <c r="G6" s="19">
        <f t="shared" si="1"/>
        <v>307.7514</v>
      </c>
      <c r="H6" s="19">
        <f t="shared" si="1"/>
        <v>304.673886</v>
      </c>
      <c r="I6" s="19">
        <f t="shared" si="1"/>
        <v>301.6271471</v>
      </c>
    </row>
    <row r="7">
      <c r="A7" s="7" t="s">
        <v>109</v>
      </c>
      <c r="E7" s="27">
        <f>-E6*Assumptions!B26</f>
        <v>-3.14</v>
      </c>
      <c r="F7" s="27">
        <f>-F6*Assumptions!B26</f>
        <v>-3.1086</v>
      </c>
      <c r="G7" s="27">
        <f>-G6*Assumptions!B26</f>
        <v>-3.077514</v>
      </c>
      <c r="H7" s="27">
        <f>-H6*Assumptions!B26</f>
        <v>-3.04673886</v>
      </c>
      <c r="I7" s="27">
        <f>-I6*Assumptions!B26</f>
        <v>-3.016271471</v>
      </c>
    </row>
    <row r="8">
      <c r="A8" s="7" t="s">
        <v>110</v>
      </c>
      <c r="E8" s="7">
        <v>0.0</v>
      </c>
      <c r="F8" s="7">
        <v>0.0</v>
      </c>
      <c r="G8" s="7">
        <v>0.0</v>
      </c>
      <c r="H8" s="7">
        <v>0.0</v>
      </c>
      <c r="I8" s="7">
        <v>0.0</v>
      </c>
    </row>
    <row r="9">
      <c r="A9" s="4" t="s">
        <v>111</v>
      </c>
      <c r="B9" s="35"/>
      <c r="C9" s="35"/>
      <c r="D9" s="35"/>
      <c r="E9" s="36">
        <f t="shared" ref="E9:I9" si="2">SUM(E6:E8)</f>
        <v>310.86</v>
      </c>
      <c r="F9" s="36">
        <f t="shared" si="2"/>
        <v>307.7514</v>
      </c>
      <c r="G9" s="36">
        <f t="shared" si="2"/>
        <v>304.673886</v>
      </c>
      <c r="H9" s="36">
        <f t="shared" si="2"/>
        <v>301.6271471</v>
      </c>
      <c r="I9" s="36">
        <f t="shared" si="2"/>
        <v>298.6108757</v>
      </c>
    </row>
    <row r="10">
      <c r="A10" s="7" t="s">
        <v>112</v>
      </c>
      <c r="E10" s="37">
        <f>-(E6+E9)/2*Assumptions!B25</f>
        <v>-26.55655</v>
      </c>
      <c r="F10" s="37">
        <f>-(F6+F9)/2*Assumptions!B25</f>
        <v>-26.2909845</v>
      </c>
      <c r="G10" s="37">
        <f>-(G6+G9)/2*Assumptions!B25</f>
        <v>-26.02807466</v>
      </c>
      <c r="H10" s="37">
        <f>-(H6+H9)/2*Assumptions!B25</f>
        <v>-25.76779391</v>
      </c>
      <c r="I10" s="37">
        <f>-(I6+I9)/2*Assumptions!B25</f>
        <v>-25.51011597</v>
      </c>
    </row>
    <row r="11">
      <c r="A11" s="33" t="s">
        <v>113</v>
      </c>
      <c r="B11" s="34"/>
      <c r="C11" s="34"/>
      <c r="D11" s="34"/>
      <c r="E11" s="34"/>
      <c r="F11" s="34"/>
      <c r="G11" s="34"/>
      <c r="H11" s="34"/>
      <c r="I11" s="34"/>
    </row>
    <row r="12">
      <c r="A12" s="7" t="s">
        <v>108</v>
      </c>
      <c r="E12" s="38">
        <f>Assumptions!B27</f>
        <v>118</v>
      </c>
      <c r="F12" s="38">
        <f t="shared" ref="F12:I12" si="3">E14</f>
        <v>118</v>
      </c>
      <c r="G12" s="38">
        <f t="shared" si="3"/>
        <v>118</v>
      </c>
      <c r="H12" s="38">
        <f t="shared" si="3"/>
        <v>118</v>
      </c>
      <c r="I12" s="38">
        <f t="shared" si="3"/>
        <v>118</v>
      </c>
    </row>
    <row r="13">
      <c r="A13" s="7" t="s">
        <v>114</v>
      </c>
      <c r="E13" s="39">
        <v>0.0</v>
      </c>
      <c r="F13" s="38">
        <f>IF(F12&lt;=0,0,IF(2=Assumptions!B42,-F12,0))</f>
        <v>0</v>
      </c>
      <c r="G13" s="38">
        <f>IF(G12&lt;=0,0,IF(3=Assumptions!B42,-G12,0))</f>
        <v>0</v>
      </c>
      <c r="H13" s="38">
        <f>IF(H12&lt;=0,0,IF(4=Assumptions!B42,-H12,0))</f>
        <v>0</v>
      </c>
      <c r="I13" s="38">
        <f>IF(I12&lt;=0,0,IF(5=Assumptions!B42,-I12,0))</f>
        <v>-118</v>
      </c>
    </row>
    <row r="14">
      <c r="A14" s="4" t="s">
        <v>111</v>
      </c>
      <c r="B14" s="35"/>
      <c r="C14" s="35"/>
      <c r="D14" s="35"/>
      <c r="E14" s="40">
        <f t="shared" ref="E14:I14" si="4">E12+E13</f>
        <v>118</v>
      </c>
      <c r="F14" s="40">
        <f t="shared" si="4"/>
        <v>118</v>
      </c>
      <c r="G14" s="40">
        <f t="shared" si="4"/>
        <v>118</v>
      </c>
      <c r="H14" s="40">
        <f t="shared" si="4"/>
        <v>118</v>
      </c>
      <c r="I14" s="40">
        <f t="shared" si="4"/>
        <v>0</v>
      </c>
    </row>
    <row r="15">
      <c r="A15" s="7" t="s">
        <v>112</v>
      </c>
      <c r="E15" s="38">
        <f>-E12*Assumptions!B28</f>
        <v>-11.21</v>
      </c>
      <c r="F15" s="38">
        <f>-F12*Assumptions!B28</f>
        <v>-11.21</v>
      </c>
      <c r="G15" s="38">
        <f>-G12*Assumptions!B28</f>
        <v>-11.21</v>
      </c>
      <c r="H15" s="38">
        <f>-H12*Assumptions!B28</f>
        <v>-11.21</v>
      </c>
      <c r="I15" s="38">
        <f>-I12*Assumptions!B28</f>
        <v>-11.21</v>
      </c>
    </row>
    <row r="16">
      <c r="A16" s="33" t="s">
        <v>115</v>
      </c>
      <c r="B16" s="41"/>
      <c r="C16" s="41"/>
      <c r="D16" s="41"/>
      <c r="E16" s="41"/>
      <c r="F16" s="41"/>
      <c r="G16" s="41"/>
      <c r="H16" s="41"/>
      <c r="I16" s="41"/>
    </row>
    <row r="17">
      <c r="A17" s="4" t="s">
        <v>116</v>
      </c>
      <c r="B17" s="35"/>
      <c r="C17" s="35"/>
      <c r="D17" s="35"/>
      <c r="E17" s="24">
        <f t="shared" ref="E17:I17" si="5">E6+E12</f>
        <v>432</v>
      </c>
      <c r="F17" s="24">
        <f t="shared" si="5"/>
        <v>428.86</v>
      </c>
      <c r="G17" s="24">
        <f t="shared" si="5"/>
        <v>425.7514</v>
      </c>
      <c r="H17" s="24">
        <f t="shared" si="5"/>
        <v>422.673886</v>
      </c>
      <c r="I17" s="24">
        <f t="shared" si="5"/>
        <v>419.6271471</v>
      </c>
    </row>
    <row r="18">
      <c r="A18" s="4" t="s">
        <v>117</v>
      </c>
      <c r="B18" s="35"/>
      <c r="C18" s="35"/>
      <c r="D18" s="35"/>
      <c r="E18" s="42">
        <f t="shared" ref="E18:I18" si="6">E9+E14</f>
        <v>428.86</v>
      </c>
      <c r="F18" s="42">
        <f t="shared" si="6"/>
        <v>425.7514</v>
      </c>
      <c r="G18" s="42">
        <f t="shared" si="6"/>
        <v>422.673886</v>
      </c>
      <c r="H18" s="42">
        <f t="shared" si="6"/>
        <v>419.6271471</v>
      </c>
      <c r="I18" s="42">
        <f t="shared" si="6"/>
        <v>298.6108757</v>
      </c>
    </row>
    <row r="19">
      <c r="A19" s="4" t="s">
        <v>118</v>
      </c>
      <c r="B19" s="35"/>
      <c r="C19" s="35"/>
      <c r="D19" s="35"/>
      <c r="E19" s="43">
        <f>IF('Income Statement'!E11=0,0,E18/'Income Statement'!E11)</f>
        <v>5.370215004</v>
      </c>
      <c r="F19" s="43">
        <f>IF('Income Statement'!F11=0,0,F18/'Income Statement'!F11)</f>
        <v>5.077417997</v>
      </c>
      <c r="G19" s="43">
        <f>IF('Income Statement'!G11=0,0,G18/'Income Statement'!G11)</f>
        <v>4.223610126</v>
      </c>
      <c r="H19" s="43">
        <f>IF('Income Statement'!H11=0,0,H18/'Income Statement'!H11)</f>
        <v>3.518570411</v>
      </c>
      <c r="I19" s="43">
        <f>IF('Income Statement'!I11=0,0,I18/'Income Statement'!I11)</f>
        <v>2.269136134</v>
      </c>
    </row>
    <row r="20">
      <c r="A20" s="4" t="s">
        <v>119</v>
      </c>
      <c r="B20" s="35"/>
      <c r="C20" s="35"/>
      <c r="D20" s="35"/>
      <c r="E20" s="44">
        <f t="shared" ref="E20:I20" si="7">E10+E15</f>
        <v>-37.76655</v>
      </c>
      <c r="F20" s="44">
        <f t="shared" si="7"/>
        <v>-37.5009845</v>
      </c>
      <c r="G20" s="44">
        <f t="shared" si="7"/>
        <v>-37.23807466</v>
      </c>
      <c r="H20" s="44">
        <f t="shared" si="7"/>
        <v>-36.97779391</v>
      </c>
      <c r="I20" s="44">
        <f t="shared" si="7"/>
        <v>-36.72011597</v>
      </c>
    </row>
    <row r="21">
      <c r="A21" s="7" t="s">
        <v>120</v>
      </c>
      <c r="E21" s="43">
        <f>IF(E20=0,0,-'Income Statement'!E11/E20)</f>
        <v>2.114543161</v>
      </c>
      <c r="F21" s="43">
        <f>IF(F20=0,0,-'Income Statement'!F11/F20)</f>
        <v>2.235993298</v>
      </c>
      <c r="G21" s="43">
        <f>IF(G20=0,0,-'Income Statement'!G11/G20)</f>
        <v>2.687412767</v>
      </c>
      <c r="H21" s="43">
        <f>IF(H20=0,0,-'Income Statement'!H11/H20)</f>
        <v>3.225197634</v>
      </c>
      <c r="I21" s="43">
        <f>IF(I20=0,0,-'Income Statement'!I11/I20)</f>
        <v>3.583777391</v>
      </c>
    </row>
    <row r="22">
      <c r="A22" s="7" t="s">
        <v>121</v>
      </c>
      <c r="E22" s="13">
        <v>3.0</v>
      </c>
      <c r="F22" s="13">
        <v>3.0</v>
      </c>
      <c r="G22" s="13">
        <v>3.0</v>
      </c>
      <c r="H22" s="13">
        <v>3.0</v>
      </c>
      <c r="I22" s="13">
        <v>3.0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122</v>
      </c>
      <c r="B1" s="45"/>
      <c r="C1" s="45"/>
      <c r="D1" s="45"/>
      <c r="E1" s="45"/>
      <c r="F1" s="45"/>
      <c r="G1" s="45"/>
      <c r="H1" s="45"/>
      <c r="I1" s="45"/>
    </row>
    <row r="2">
      <c r="A2" s="30" t="s">
        <v>123</v>
      </c>
      <c r="B2" s="31"/>
      <c r="C2" s="31"/>
      <c r="D2" s="31"/>
      <c r="E2" s="31"/>
      <c r="F2" s="31"/>
      <c r="G2" s="31"/>
      <c r="H2" s="31"/>
      <c r="I2" s="31"/>
    </row>
    <row r="4">
      <c r="E4" s="32" t="s">
        <v>82</v>
      </c>
      <c r="F4" s="32" t="s">
        <v>83</v>
      </c>
      <c r="G4" s="32" t="s">
        <v>84</v>
      </c>
      <c r="H4" s="32" t="s">
        <v>85</v>
      </c>
      <c r="I4" s="32" t="s">
        <v>86</v>
      </c>
    </row>
    <row r="5">
      <c r="A5" s="33" t="s">
        <v>124</v>
      </c>
      <c r="B5" s="46"/>
      <c r="C5" s="46"/>
      <c r="D5" s="46"/>
      <c r="E5" s="46"/>
      <c r="F5" s="46"/>
      <c r="G5" s="46"/>
      <c r="H5" s="46"/>
      <c r="I5" s="46"/>
    </row>
    <row r="6">
      <c r="A6" s="7" t="s">
        <v>95</v>
      </c>
      <c r="E6" s="47">
        <f>'Income Statement'!E11</f>
        <v>79.859</v>
      </c>
      <c r="F6" s="47">
        <f>'Income Statement'!F11</f>
        <v>83.85195</v>
      </c>
      <c r="G6" s="47">
        <f>'Income Statement'!G11</f>
        <v>100.0740773</v>
      </c>
      <c r="H6" s="47">
        <f>'Income Statement'!H11</f>
        <v>119.2606934</v>
      </c>
      <c r="I6" s="47">
        <f>'Income Statement'!I11</f>
        <v>131.5967214</v>
      </c>
    </row>
    <row r="7">
      <c r="A7" s="7" t="s">
        <v>98</v>
      </c>
      <c r="E7" s="47">
        <f>'Income Statement'!E13</f>
        <v>-18.429</v>
      </c>
      <c r="F7" s="47">
        <f>'Income Statement'!F13</f>
        <v>-19.35045</v>
      </c>
      <c r="G7" s="47">
        <f>'Income Statement'!G13</f>
        <v>-20.7049815</v>
      </c>
      <c r="H7" s="47">
        <f>'Income Statement'!H13</f>
        <v>-22.36138002</v>
      </c>
      <c r="I7" s="47">
        <f>'Income Statement'!I13</f>
        <v>-23.92667662</v>
      </c>
    </row>
    <row r="8">
      <c r="A8" s="7" t="s">
        <v>99</v>
      </c>
      <c r="E8" s="47">
        <f>'Income Statement'!E14</f>
        <v>61.43</v>
      </c>
      <c r="F8" s="47">
        <f>'Income Statement'!F14</f>
        <v>64.5015</v>
      </c>
      <c r="G8" s="47">
        <f>'Income Statement'!G14</f>
        <v>79.36909575</v>
      </c>
      <c r="H8" s="47">
        <f>'Income Statement'!H14</f>
        <v>96.89931342</v>
      </c>
      <c r="I8" s="47">
        <f>'Income Statement'!I14</f>
        <v>107.6700448</v>
      </c>
    </row>
    <row r="9">
      <c r="A9" s="7" t="s">
        <v>125</v>
      </c>
      <c r="E9" s="27">
        <f>IF(E8&gt;0,E8*(-Assumptions!B11),0)</f>
        <v>-15.3575</v>
      </c>
      <c r="F9" s="27">
        <f>IF(F8&gt;0,F8*(-Assumptions!B11),0)</f>
        <v>-16.125375</v>
      </c>
      <c r="G9" s="27">
        <f>IF(G8&gt;0,G8*(-Assumptions!B11),0)</f>
        <v>-19.84227394</v>
      </c>
      <c r="H9" s="27">
        <f>IF(H8&gt;0,H8*(-Assumptions!B11),0)</f>
        <v>-24.22482836</v>
      </c>
      <c r="I9" s="27">
        <f>IF(I8&gt;0,I8*(-Assumptions!B11),0)</f>
        <v>-26.9175112</v>
      </c>
    </row>
    <row r="10">
      <c r="A10" s="4" t="s">
        <v>126</v>
      </c>
      <c r="B10" s="35"/>
      <c r="C10" s="35"/>
      <c r="D10" s="35"/>
      <c r="E10" s="24">
        <f t="shared" ref="E10:I10" si="1">E8+E9</f>
        <v>46.0725</v>
      </c>
      <c r="F10" s="24">
        <f t="shared" si="1"/>
        <v>48.376125</v>
      </c>
      <c r="G10" s="24">
        <f t="shared" si="1"/>
        <v>59.52682181</v>
      </c>
      <c r="H10" s="24">
        <f t="shared" si="1"/>
        <v>72.67448507</v>
      </c>
      <c r="I10" s="24">
        <f t="shared" si="1"/>
        <v>80.7525336</v>
      </c>
    </row>
    <row r="11">
      <c r="A11" s="7" t="s">
        <v>127</v>
      </c>
      <c r="E11" s="19">
        <f t="shared" ref="E11:I11" si="2">-E7</f>
        <v>18.429</v>
      </c>
      <c r="F11" s="19">
        <f t="shared" si="2"/>
        <v>19.35045</v>
      </c>
      <c r="G11" s="19">
        <f t="shared" si="2"/>
        <v>20.7049815</v>
      </c>
      <c r="H11" s="19">
        <f t="shared" si="2"/>
        <v>22.36138002</v>
      </c>
      <c r="I11" s="19">
        <f t="shared" si="2"/>
        <v>23.92667662</v>
      </c>
    </row>
    <row r="12">
      <c r="A12" s="7" t="s">
        <v>128</v>
      </c>
      <c r="E12" s="27">
        <f>-'Income Statement'!E6*Assumptions!B13</f>
        <v>-18.429</v>
      </c>
      <c r="F12" s="27">
        <f>-'Income Statement'!F6*Assumptions!B13</f>
        <v>-19.35045</v>
      </c>
      <c r="G12" s="27">
        <f>-'Income Statement'!G6*Assumptions!B13</f>
        <v>-20.7049815</v>
      </c>
      <c r="H12" s="27">
        <f>-'Income Statement'!H6*Assumptions!B13</f>
        <v>-22.36138002</v>
      </c>
      <c r="I12" s="27">
        <f>-'Income Statement'!I6*Assumptions!B13</f>
        <v>-23.92667662</v>
      </c>
    </row>
    <row r="13">
      <c r="A13" s="7" t="s">
        <v>129</v>
      </c>
      <c r="E13" s="38">
        <f>-(E6-Assumptions!B6)*Assumptions!B10</f>
        <v>98.871585</v>
      </c>
      <c r="F13" s="38">
        <f>-(F6-E6)*Assumptions!B10</f>
        <v>-0.73869575</v>
      </c>
      <c r="G13" s="38">
        <f>-(G6-F6)*Assumptions!B10</f>
        <v>-3.001093541</v>
      </c>
      <c r="H13" s="38">
        <f>-(H6-G6)*Assumptions!B10</f>
        <v>-3.549523995</v>
      </c>
      <c r="I13" s="38">
        <f>-(I6-H6)*Assumptions!B10</f>
        <v>-2.282165176</v>
      </c>
    </row>
    <row r="14">
      <c r="A14" s="48" t="s">
        <v>130</v>
      </c>
      <c r="B14" s="49"/>
      <c r="C14" s="49"/>
      <c r="D14" s="49"/>
      <c r="E14" s="50">
        <f t="shared" ref="E14:I14" si="3">SUM(E10:E13)</f>
        <v>144.944085</v>
      </c>
      <c r="F14" s="50">
        <f t="shared" si="3"/>
        <v>47.63742925</v>
      </c>
      <c r="G14" s="50">
        <f t="shared" si="3"/>
        <v>56.52572827</v>
      </c>
      <c r="H14" s="50">
        <f t="shared" si="3"/>
        <v>69.12496107</v>
      </c>
      <c r="I14" s="50">
        <f t="shared" si="3"/>
        <v>78.47036842</v>
      </c>
    </row>
    <row r="15">
      <c r="A15" s="33" t="s">
        <v>131</v>
      </c>
      <c r="B15" s="34"/>
      <c r="C15" s="34"/>
      <c r="D15" s="34"/>
      <c r="E15" s="34"/>
      <c r="F15" s="34"/>
      <c r="G15" s="34"/>
      <c r="H15" s="34"/>
      <c r="I15" s="34"/>
    </row>
    <row r="16">
      <c r="A16" s="7" t="s">
        <v>130</v>
      </c>
      <c r="E16" s="47">
        <f t="shared" ref="E16:I16" si="4">E14</f>
        <v>144.944085</v>
      </c>
      <c r="F16" s="47">
        <f t="shared" si="4"/>
        <v>47.63742925</v>
      </c>
      <c r="G16" s="47">
        <f t="shared" si="4"/>
        <v>56.52572827</v>
      </c>
      <c r="H16" s="47">
        <f t="shared" si="4"/>
        <v>69.12496107</v>
      </c>
      <c r="I16" s="47">
        <f t="shared" si="4"/>
        <v>78.47036842</v>
      </c>
    </row>
    <row r="17">
      <c r="A17" s="7" t="s">
        <v>132</v>
      </c>
      <c r="E17" s="51">
        <f>'Debt Schedule'!E20</f>
        <v>-37.76655</v>
      </c>
      <c r="F17" s="51">
        <f>'Debt Schedule'!F20</f>
        <v>-37.5009845</v>
      </c>
      <c r="G17" s="51">
        <f>'Debt Schedule'!G20</f>
        <v>-37.23807466</v>
      </c>
      <c r="H17" s="51">
        <f>'Debt Schedule'!H20</f>
        <v>-36.97779391</v>
      </c>
      <c r="I17" s="51">
        <f>'Debt Schedule'!I20</f>
        <v>-36.72011597</v>
      </c>
    </row>
    <row r="18">
      <c r="A18" s="7" t="s">
        <v>133</v>
      </c>
      <c r="E18" s="52">
        <f>'Debt Schedule'!E7</f>
        <v>-3.14</v>
      </c>
      <c r="F18" s="52">
        <f>'Debt Schedule'!F7</f>
        <v>-3.1086</v>
      </c>
      <c r="G18" s="52">
        <f>'Debt Schedule'!G7</f>
        <v>-3.077514</v>
      </c>
      <c r="H18" s="52">
        <f>'Debt Schedule'!H7</f>
        <v>-3.04673886</v>
      </c>
      <c r="I18" s="52">
        <f>'Debt Schedule'!I7</f>
        <v>-3.016271471</v>
      </c>
    </row>
    <row r="19">
      <c r="A19" s="48" t="s">
        <v>134</v>
      </c>
      <c r="B19" s="49"/>
      <c r="C19" s="49"/>
      <c r="D19" s="49"/>
      <c r="E19" s="50">
        <f t="shared" ref="E19:I19" si="5">SUM(E16:E18)</f>
        <v>104.037535</v>
      </c>
      <c r="F19" s="50">
        <f t="shared" si="5"/>
        <v>7.02784475</v>
      </c>
      <c r="G19" s="50">
        <f t="shared" si="5"/>
        <v>16.21013962</v>
      </c>
      <c r="H19" s="50">
        <f t="shared" si="5"/>
        <v>29.1004283</v>
      </c>
      <c r="I19" s="50">
        <f t="shared" si="5"/>
        <v>38.73398098</v>
      </c>
    </row>
    <row r="20">
      <c r="A20" s="7" t="s">
        <v>135</v>
      </c>
      <c r="E20" s="53">
        <f>12</f>
        <v>12</v>
      </c>
      <c r="F20" s="19">
        <f t="shared" ref="F20:I20" si="6">E21</f>
        <v>116.037535</v>
      </c>
      <c r="G20" s="19">
        <f t="shared" si="6"/>
        <v>123.0653798</v>
      </c>
      <c r="H20" s="19">
        <f t="shared" si="6"/>
        <v>139.2755194</v>
      </c>
      <c r="I20" s="19">
        <f t="shared" si="6"/>
        <v>168.3759477</v>
      </c>
    </row>
    <row r="21">
      <c r="A21" s="7" t="s">
        <v>136</v>
      </c>
      <c r="E21" s="19">
        <f t="shared" ref="E21:I21" si="7">E20+E19</f>
        <v>116.037535</v>
      </c>
      <c r="F21" s="19">
        <f t="shared" si="7"/>
        <v>123.0653798</v>
      </c>
      <c r="G21" s="19">
        <f t="shared" si="7"/>
        <v>139.2755194</v>
      </c>
      <c r="H21" s="19">
        <f t="shared" si="7"/>
        <v>168.3759477</v>
      </c>
      <c r="I21" s="19">
        <f t="shared" si="7"/>
        <v>207.1099286</v>
      </c>
    </row>
    <row r="22">
      <c r="A22" s="4" t="s">
        <v>137</v>
      </c>
      <c r="B22" s="35"/>
      <c r="C22" s="35"/>
      <c r="D22" s="35"/>
      <c r="E22" s="54">
        <f t="shared" ref="E22:I22" si="8">E21-E20</f>
        <v>104.037535</v>
      </c>
      <c r="F22" s="54">
        <f t="shared" si="8"/>
        <v>7.02784475</v>
      </c>
      <c r="G22" s="54">
        <f t="shared" si="8"/>
        <v>16.21013962</v>
      </c>
      <c r="H22" s="54">
        <f t="shared" si="8"/>
        <v>29.1004283</v>
      </c>
      <c r="I22" s="54">
        <f t="shared" si="8"/>
        <v>38.73398098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</cols>
  <sheetData>
    <row r="1">
      <c r="A1" s="28" t="s">
        <v>138</v>
      </c>
      <c r="B1" s="45"/>
      <c r="C1" s="45"/>
      <c r="D1" s="45"/>
      <c r="E1" s="45"/>
      <c r="F1" s="45"/>
    </row>
    <row r="2">
      <c r="A2" s="30" t="s">
        <v>139</v>
      </c>
      <c r="B2" s="31"/>
      <c r="C2" s="31"/>
      <c r="D2" s="31"/>
      <c r="E2" s="31"/>
      <c r="F2" s="31"/>
    </row>
    <row r="3">
      <c r="A3" s="33" t="s">
        <v>140</v>
      </c>
      <c r="B3" s="41"/>
      <c r="C3" s="41"/>
      <c r="D3" s="41"/>
      <c r="E3" s="41"/>
      <c r="F3" s="41"/>
    </row>
    <row r="4">
      <c r="A4" s="7" t="s">
        <v>141</v>
      </c>
      <c r="B4" s="47">
        <f>Assumptions!B16</f>
        <v>970</v>
      </c>
    </row>
    <row r="5">
      <c r="A5" s="7" t="s">
        <v>142</v>
      </c>
      <c r="B5" s="47">
        <f>-Assumptions!B18</f>
        <v>-172</v>
      </c>
    </row>
    <row r="6">
      <c r="A6" s="7" t="s">
        <v>143</v>
      </c>
      <c r="B6" s="47">
        <f>-Assumptions!B19</f>
        <v>-19</v>
      </c>
    </row>
    <row r="7">
      <c r="A7" s="55" t="s">
        <v>144</v>
      </c>
      <c r="B7" s="56">
        <f>Assumptions!B24+Assumptions!B27</f>
        <v>432</v>
      </c>
      <c r="C7" s="57"/>
      <c r="D7" s="57"/>
      <c r="E7" s="57"/>
      <c r="F7" s="57"/>
    </row>
    <row r="8">
      <c r="A8" s="48" t="s">
        <v>145</v>
      </c>
      <c r="B8" s="58">
        <f>Assumptions!B16+B5+B6-B7</f>
        <v>347</v>
      </c>
      <c r="C8" s="49"/>
      <c r="D8" s="49"/>
      <c r="E8" s="49"/>
      <c r="F8" s="49"/>
    </row>
    <row r="9">
      <c r="A9" s="7" t="s">
        <v>146</v>
      </c>
      <c r="B9" s="59">
        <f>Assumptions!B17</f>
        <v>12.3</v>
      </c>
    </row>
    <row r="10">
      <c r="A10" s="33" t="s">
        <v>147</v>
      </c>
      <c r="B10" s="41"/>
      <c r="C10" s="41"/>
      <c r="D10" s="41"/>
      <c r="E10" s="41"/>
      <c r="F10" s="41"/>
    </row>
    <row r="11">
      <c r="B11" s="60" t="s">
        <v>148</v>
      </c>
      <c r="C11" s="60" t="s">
        <v>149</v>
      </c>
      <c r="D11" s="60" t="s">
        <v>150</v>
      </c>
    </row>
    <row r="12">
      <c r="A12" s="7" t="s">
        <v>151</v>
      </c>
      <c r="B12" s="61">
        <f>'Income Statement'!I11</f>
        <v>131.5967214</v>
      </c>
      <c r="C12" s="61">
        <f>'Income Statement'!I11</f>
        <v>131.5967214</v>
      </c>
      <c r="D12" s="61">
        <f>'Income Statement'!I11</f>
        <v>131.5967214</v>
      </c>
    </row>
    <row r="13">
      <c r="A13" s="7" t="s">
        <v>152</v>
      </c>
      <c r="B13" s="62">
        <f>Assumptions!B43</f>
        <v>10</v>
      </c>
      <c r="C13" s="62">
        <f>Assumptions!B44</f>
        <v>12</v>
      </c>
      <c r="D13" s="62">
        <f>Assumptions!B45</f>
        <v>14</v>
      </c>
    </row>
    <row r="14">
      <c r="A14" s="4" t="s">
        <v>153</v>
      </c>
      <c r="B14" s="63">
        <f t="shared" ref="B14:D14" si="1">B13*B12</f>
        <v>1315.967214</v>
      </c>
      <c r="C14" s="63">
        <f t="shared" si="1"/>
        <v>1579.160657</v>
      </c>
      <c r="D14" s="63">
        <f t="shared" si="1"/>
        <v>1842.3541</v>
      </c>
    </row>
    <row r="15">
      <c r="A15" s="55" t="s">
        <v>154</v>
      </c>
      <c r="B15" s="56">
        <f>-('Debt Schedule'!I9+'Debt Schedule'!I14)</f>
        <v>-298.6108757</v>
      </c>
      <c r="C15" s="56">
        <f>-('Debt Schedule'!I9+'Debt Schedule'!I14)</f>
        <v>-298.6108757</v>
      </c>
      <c r="D15" s="56">
        <f>-('Debt Schedule'!I9+'Debt Schedule'!I14)</f>
        <v>-298.6108757</v>
      </c>
    </row>
    <row r="16">
      <c r="A16" s="48" t="s">
        <v>155</v>
      </c>
      <c r="B16" s="64">
        <f t="shared" ref="B16:D16" si="2">SUM(B14:B15)</f>
        <v>1017.356339</v>
      </c>
      <c r="C16" s="64">
        <f t="shared" si="2"/>
        <v>1280.549781</v>
      </c>
      <c r="D16" s="64">
        <f t="shared" si="2"/>
        <v>1543.743224</v>
      </c>
    </row>
    <row r="17">
      <c r="A17" s="65" t="s">
        <v>156</v>
      </c>
      <c r="B17" s="34"/>
      <c r="C17" s="34"/>
      <c r="D17" s="34"/>
      <c r="E17" s="34"/>
      <c r="F17" s="34"/>
    </row>
    <row r="18">
      <c r="A18" s="7" t="s">
        <v>157</v>
      </c>
      <c r="B18" s="47">
        <f>-B8</f>
        <v>-347</v>
      </c>
      <c r="C18" s="47">
        <f>-B8</f>
        <v>-347</v>
      </c>
      <c r="D18" s="47">
        <f>-B8</f>
        <v>-347</v>
      </c>
    </row>
    <row r="19">
      <c r="A19" s="7" t="s">
        <v>158</v>
      </c>
      <c r="B19" s="27">
        <f t="shared" ref="B19:D19" si="3">B16</f>
        <v>1017.356339</v>
      </c>
      <c r="C19" s="27">
        <f t="shared" si="3"/>
        <v>1280.549781</v>
      </c>
      <c r="D19" s="27">
        <f t="shared" si="3"/>
        <v>1543.743224</v>
      </c>
    </row>
    <row r="20">
      <c r="A20" s="7" t="s">
        <v>67</v>
      </c>
      <c r="B20" s="66">
        <f>Assumptions!B42</f>
        <v>5</v>
      </c>
      <c r="C20" s="66">
        <f>Assumptions!B42</f>
        <v>5</v>
      </c>
      <c r="D20" s="66">
        <f>Assumptions!B42</f>
        <v>5</v>
      </c>
    </row>
    <row r="21">
      <c r="A21" s="48" t="s">
        <v>159</v>
      </c>
      <c r="B21" s="67">
        <f>IF(B8=0,0,((B19/(-B18))^(1/B20))-1)</f>
        <v>0.2400200978</v>
      </c>
      <c r="C21" s="67">
        <f>IF(B8=0,0,((C19/(-C18))^(1/C20))-1)</f>
        <v>0.298414624</v>
      </c>
      <c r="D21" s="67">
        <f>IF(B8=0,0,((D19/(-D18))^(1/D20))-1)</f>
        <v>0.3478734473</v>
      </c>
      <c r="F21" s="68" t="s">
        <v>160</v>
      </c>
    </row>
    <row r="22">
      <c r="A22" s="48" t="s">
        <v>161</v>
      </c>
      <c r="B22" s="69">
        <f t="shared" ref="B22:D22" si="4">B19/(-B18)</f>
        <v>2.931862647</v>
      </c>
      <c r="C22" s="69">
        <f t="shared" si="4"/>
        <v>3.690345191</v>
      </c>
      <c r="D22" s="69">
        <f t="shared" si="4"/>
        <v>4.448827735</v>
      </c>
      <c r="F22" s="68" t="s">
        <v>162</v>
      </c>
    </row>
    <row r="23">
      <c r="A23" s="7" t="s">
        <v>163</v>
      </c>
      <c r="B23" s="10">
        <v>0.2</v>
      </c>
      <c r="C23" s="10">
        <v>0.2</v>
      </c>
      <c r="D23" s="10">
        <v>0.2</v>
      </c>
    </row>
    <row r="24">
      <c r="A24" s="33" t="s">
        <v>164</v>
      </c>
      <c r="B24" s="41"/>
      <c r="C24" s="41"/>
      <c r="D24" s="41"/>
      <c r="E24" s="41"/>
      <c r="F24" s="41"/>
    </row>
    <row r="25">
      <c r="A25" s="7" t="s">
        <v>165</v>
      </c>
      <c r="B25" s="19">
        <f>-B8</f>
        <v>-347</v>
      </c>
    </row>
    <row r="26">
      <c r="A26" s="7" t="s">
        <v>166</v>
      </c>
      <c r="B26" s="27">
        <f>('Income Statement'!I11-'Income Statement'!E11)*C13</f>
        <v>620.852657</v>
      </c>
    </row>
    <row r="27">
      <c r="A27" s="7" t="s">
        <v>167</v>
      </c>
      <c r="B27" s="27">
        <f>'Income Statement'!I11*(C13-Assumptions!B17)</f>
        <v>-39.47901643</v>
      </c>
    </row>
    <row r="28">
      <c r="A28" s="55" t="s">
        <v>168</v>
      </c>
      <c r="B28" s="70">
        <f>-('Debt Schedule'!E17-'Debt Schedule'!I18)</f>
        <v>-133.3891243</v>
      </c>
      <c r="C28" s="57"/>
      <c r="D28" s="57"/>
      <c r="E28" s="57"/>
      <c r="F28" s="57"/>
    </row>
    <row r="29">
      <c r="A29" s="48" t="s">
        <v>155</v>
      </c>
      <c r="B29" s="64">
        <f>C16</f>
        <v>1280.549781</v>
      </c>
      <c r="C29" s="49"/>
      <c r="D29" s="49"/>
      <c r="E29" s="49"/>
      <c r="F29" s="4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</cols>
  <sheetData>
    <row r="1">
      <c r="A1" s="28" t="s">
        <v>169</v>
      </c>
      <c r="B1" s="45"/>
      <c r="C1" s="45"/>
      <c r="D1" s="45"/>
      <c r="E1" s="45"/>
      <c r="F1" s="45"/>
      <c r="G1" s="45"/>
    </row>
    <row r="2">
      <c r="A2" s="30" t="s">
        <v>170</v>
      </c>
      <c r="B2" s="31"/>
      <c r="C2" s="31"/>
      <c r="D2" s="31"/>
      <c r="E2" s="31"/>
      <c r="F2" s="31"/>
      <c r="G2" s="31"/>
    </row>
    <row r="4">
      <c r="A4" s="71" t="s">
        <v>171</v>
      </c>
      <c r="B4" s="72"/>
    </row>
    <row r="5">
      <c r="A5" s="73" t="s">
        <v>172</v>
      </c>
      <c r="B5" s="74">
        <v>10.0</v>
      </c>
      <c r="C5" s="74">
        <v>11.0</v>
      </c>
      <c r="D5" s="74">
        <v>12.0</v>
      </c>
      <c r="E5" s="74">
        <v>13.0</v>
      </c>
      <c r="F5" s="74">
        <v>14.0</v>
      </c>
      <c r="G5" s="7" t="s">
        <v>173</v>
      </c>
    </row>
    <row r="6">
      <c r="A6" s="75">
        <v>9.0</v>
      </c>
      <c r="B6" s="76">
        <f>IF(((10*Assumptions!B7)-(Assumptions!B24+Assumptions!B27)-Assumptions!B18-Assumptions!B19)&lt;=0,0,((9*'Income Statement'!I11-('Debt Schedule'!I9+'Debt Schedule'!I14))/((10*Assumptions!B7)-(Assumptions!B24+Assumptions!B27)-Assumptions!B18-Assumptions!B19))^(1/5)-1)</f>
        <v>0.4046242836</v>
      </c>
      <c r="C6" s="76">
        <f>IF(((11*Assumptions!B7)-(Assumptions!B24+Assumptions!B27)-Assumptions!B18-Assumptions!B19)&lt;=0,0,((9*'Income Statement'!I11-('Debt Schedule'!I9+'Debt Schedule'!I14))/((11*Assumptions!B7)-(Assumptions!B24+Assumptions!B27)-Assumptions!B18-Assumptions!B19))^(1/5)-1)</f>
        <v>0.2978967924</v>
      </c>
      <c r="D6" s="77">
        <f>IF(((12.3*Assumptions!B7)-(Assumptions!B24+Assumptions!B27)-Assumptions!B18-Assumptions!B19)&lt;=0,0,((9*'Income Statement'!I11-('Debt Schedule'!I9+'Debt Schedule'!I14))/((12.3*Assumptions!B7)-(Assumptions!B24+Assumptions!B27)-Assumptions!B18-Assumptions!B19))^(1/5)-1)</f>
        <v>0.2092563619</v>
      </c>
      <c r="E6" s="76">
        <f>IF(((13*Assumptions!B7)-(Assumptions!B24+Assumptions!B27)-Assumptions!B18-Assumptions!B19)&lt;=0,0,((9*'Income Statement'!I11-('Debt Schedule'!I9+'Debt Schedule'!I14))/((13*Assumptions!B7)-(Assumptions!B24+Assumptions!B27)-Assumptions!B18-Assumptions!B19))^(1/5)-1)</f>
        <v>0.173804442</v>
      </c>
      <c r="F6" s="76">
        <f>IF(((14*Assumptions!B7)-(Assumptions!B24+Assumptions!B27)-Assumptions!B18-Assumptions!B19)&lt;=0,0,((9*'Income Statement'!I11-('Debt Schedule'!I9+'Debt Schedule'!I14))/((14*Assumptions!B7)-(Assumptions!B24+Assumptions!B27)-Assumptions!B18-Assumptions!B19))^(1/5)-1)</f>
        <v>0.1322485801</v>
      </c>
    </row>
    <row r="7">
      <c r="A7" s="75">
        <v>10.0</v>
      </c>
      <c r="B7" s="76">
        <f>IF(((10*Assumptions!B7)-(Assumptions!B24+Assumptions!B27)-Assumptions!B18-Assumptions!B19)&lt;=0,0,((10*'Income Statement'!I11-('Debt Schedule'!I9+'Debt Schedule'!I14))/((10*Assumptions!B7)-(Assumptions!B24+Assumptions!B27)-Assumptions!B18-Assumptions!B19))^(1/5)-1)</f>
        <v>0.4440812068</v>
      </c>
      <c r="C7" s="76">
        <f>IF(((11*Assumptions!B7)-(Assumptions!B24+Assumptions!B27)-Assumptions!B18-Assumptions!B19)&lt;=0,0,((10*'Income Statement'!I11-('Debt Schedule'!I9+'Debt Schedule'!I14))/((11*Assumptions!B7)-(Assumptions!B24+Assumptions!B27)-Assumptions!B18-Assumptions!B19))^(1/5)-1)</f>
        <v>0.3343556624</v>
      </c>
      <c r="D7" s="77">
        <f>IF(((12.3*Assumptions!B7)-(Assumptions!B24+Assumptions!B27)-Assumptions!B18-Assumptions!B19)&lt;=0,0,((10*'Income Statement'!I11-('Debt Schedule'!I9+'Debt Schedule'!I14))/((12.3*Assumptions!B7)-(Assumptions!B24+Assumptions!B27)-Assumptions!B18-Assumptions!B19))^(1/5)-1)</f>
        <v>0.2432252574</v>
      </c>
      <c r="E7" s="76">
        <f>IF(((13*Assumptions!B7)-(Assumptions!B24+Assumptions!B27)-Assumptions!B18-Assumptions!B19)&lt;=0,0,((10*'Income Statement'!I11-('Debt Schedule'!I9+'Debt Schedule'!I14))/((13*Assumptions!B7)-(Assumptions!B24+Assumptions!B27)-Assumptions!B18-Assumptions!B19))^(1/5)-1)</f>
        <v>0.2067774671</v>
      </c>
      <c r="F7" s="76">
        <f>IF(((14*Assumptions!B7)-(Assumptions!B24+Assumptions!B27)-Assumptions!B18-Assumptions!B19)&lt;=0,0,((10*'Income Statement'!I11-('Debt Schedule'!I9+'Debt Schedule'!I14))/((14*Assumptions!B7)-(Assumptions!B24+Assumptions!B27)-Assumptions!B18-Assumptions!B19))^(1/5)-1)</f>
        <v>0.1640542707</v>
      </c>
    </row>
    <row r="8">
      <c r="A8" s="75">
        <v>11.0</v>
      </c>
      <c r="B8" s="76">
        <f>IF(((10*Assumptions!B7)-(Assumptions!B24+Assumptions!B27)-Assumptions!B18-Assumptions!B19)&lt;=0,0,((11*'Income Statement'!I11-('Debt Schedule'!I9+'Debt Schedule'!I14))/((10*Assumptions!B7)-(Assumptions!B24+Assumptions!B27)-Assumptions!B18-Assumptions!B19))^(1/5)-1)</f>
        <v>0.479644739</v>
      </c>
      <c r="C8" s="76">
        <f>IF(((11*Assumptions!B7)-(Assumptions!B24+Assumptions!B27)-Assumptions!B18-Assumptions!B19)&lt;=0,0,((11*'Income Statement'!I11-('Debt Schedule'!I9+'Debt Schedule'!I14))/((11*Assumptions!B7)-(Assumptions!B24+Assumptions!B27)-Assumptions!B18-Assumptions!B19))^(1/5)-1)</f>
        <v>0.3672169726</v>
      </c>
      <c r="D8" s="77">
        <f>IF(((12.3*Assumptions!B7)-(Assumptions!B24+Assumptions!B27)-Assumptions!B18-Assumptions!B19)&lt;=0,0,((11*'Income Statement'!I11-('Debt Schedule'!I9+'Debt Schedule'!I14))/((12.3*Assumptions!B7)-(Assumptions!B24+Assumptions!B27)-Assumptions!B18-Assumptions!B19))^(1/5)-1)</f>
        <v>0.27384229</v>
      </c>
      <c r="E8" s="76">
        <f>IF(((13*Assumptions!B7)-(Assumptions!B24+Assumptions!B27)-Assumptions!B18-Assumptions!B19)&lt;=0,0,((11*'Income Statement'!I11-('Debt Schedule'!I9+'Debt Schedule'!I14))/((13*Assumptions!B7)-(Assumptions!B24+Assumptions!B27)-Assumptions!B18-Assumptions!B19))^(1/5)-1)</f>
        <v>0.2364968964</v>
      </c>
      <c r="F8" s="76">
        <f>IF(((14*Assumptions!B7)-(Assumptions!B24+Assumptions!B27)-Assumptions!B18-Assumptions!B19)&lt;=0,0,((11*'Income Statement'!I11-('Debt Schedule'!I9+'Debt Schedule'!I14))/((14*Assumptions!B7)-(Assumptions!B24+Assumptions!B27)-Assumptions!B18-Assumptions!B19))^(1/5)-1)</f>
        <v>0.1927215515</v>
      </c>
    </row>
    <row r="9">
      <c r="A9" s="75">
        <v>12.0</v>
      </c>
      <c r="B9" s="76">
        <f>IF(((10*Assumptions!B7)-(Assumptions!B24+Assumptions!B27)-Assumptions!B18-Assumptions!B19)&lt;=0,0,((12*'Income Statement'!I11-('Debt Schedule'!I9+'Debt Schedule'!I14))/((10*Assumptions!B7)-(Assumptions!B24+Assumptions!B27)-Assumptions!B18-Assumptions!B19))^(1/5)-1)</f>
        <v>0.5120852965</v>
      </c>
      <c r="C9" s="76">
        <f>IF(((11*Assumptions!B7)-(Assumptions!B24+Assumptions!B27)-Assumptions!B18-Assumptions!B19)&lt;=0,0,((12*'Income Statement'!I11-('Debt Schedule'!I9+'Debt Schedule'!I14))/((11*Assumptions!B7)-(Assumptions!B24+Assumptions!B27)-Assumptions!B18-Assumptions!B19))^(1/5)-1)</f>
        <v>0.397192601</v>
      </c>
      <c r="D9" s="77">
        <f>IF(((12.3*Assumptions!B7)-(Assumptions!B24+Assumptions!B27)-Assumptions!B18-Assumptions!B19)&lt;=0,0,((12*'Income Statement'!I11-('Debt Schedule'!I9+'Debt Schedule'!I14))/((12.3*Assumptions!B7)-(Assumptions!B24+Assumptions!B27)-Assumptions!B18-Assumptions!B19))^(1/5)-1)</f>
        <v>0.3017707198</v>
      </c>
      <c r="E9" s="76">
        <f>IF(((13*Assumptions!B7)-(Assumptions!B24+Assumptions!B27)-Assumptions!B18-Assumptions!B19)&lt;=0,0,((12*'Income Statement'!I11-('Debt Schedule'!I9+'Debt Schedule'!I14))/((13*Assumptions!B7)-(Assumptions!B24+Assumptions!B27)-Assumptions!B18-Assumptions!B19))^(1/5)-1)</f>
        <v>0.2636065448</v>
      </c>
      <c r="F9" s="76">
        <f>IF(((14*Assumptions!B7)-(Assumptions!B24+Assumptions!B27)-Assumptions!B18-Assumptions!B19)&lt;=0,0,((12*'Income Statement'!I11-('Debt Schedule'!I9+'Debt Schedule'!I14))/((14*Assumptions!B7)-(Assumptions!B24+Assumptions!B27)-Assumptions!B18-Assumptions!B19))^(1/5)-1)</f>
        <v>0.2188714449</v>
      </c>
    </row>
    <row r="10">
      <c r="A10" s="75">
        <v>13.0</v>
      </c>
      <c r="B10" s="76">
        <f>IF(((10*Assumptions!B7)-(Assumptions!B24+Assumptions!B27)-Assumptions!B18-Assumptions!B19)&lt;=0,0,((13*'Income Statement'!I11-('Debt Schedule'!I9+'Debt Schedule'!I14))/((10*Assumptions!B7)-(Assumptions!B24+Assumptions!B27)-Assumptions!B18-Assumptions!B19))^(1/5)-1)</f>
        <v>0.5419594327</v>
      </c>
      <c r="C10" s="76">
        <f>IF(((11*Assumptions!B7)-(Assumptions!B24+Assumptions!B27)-Assumptions!B18-Assumptions!B19)&lt;=0,0,((13*'Income Statement'!I11-('Debt Schedule'!I9+'Debt Schedule'!I14))/((11*Assumptions!B7)-(Assumptions!B24+Assumptions!B27)-Assumptions!B18-Assumptions!B19))^(1/5)-1)</f>
        <v>0.4247968123</v>
      </c>
      <c r="D10" s="77">
        <f>IF(((12.3*Assumptions!B7)-(Assumptions!B24+Assumptions!B27)-Assumptions!B18-Assumptions!B19)&lt;=0,0,((13*'Income Statement'!I11-('Debt Schedule'!I9+'Debt Schedule'!I14))/((12.3*Assumptions!B7)-(Assumptions!B24+Assumptions!B27)-Assumptions!B18-Assumptions!B19))^(1/5)-1)</f>
        <v>0.3274896894</v>
      </c>
      <c r="E10" s="76">
        <f>IF(((13*Assumptions!B7)-(Assumptions!B24+Assumptions!B27)-Assumptions!B18-Assumptions!B19)&lt;=0,0,((13*'Income Statement'!I11-('Debt Schedule'!I9+'Debt Schedule'!I14))/((13*Assumptions!B7)-(Assumptions!B24+Assumptions!B27)-Assumptions!B18-Assumptions!B19))^(1/5)-1)</f>
        <v>0.2885715082</v>
      </c>
      <c r="F10" s="76">
        <f>IF(((14*Assumptions!B7)-(Assumptions!B24+Assumptions!B27)-Assumptions!B18-Assumptions!B19)&lt;=0,0,((13*'Income Statement'!I11-('Debt Schedule'!I9+'Debt Schedule'!I14))/((14*Assumptions!B7)-(Assumptions!B24+Assumptions!B27)-Assumptions!B18-Assumptions!B19))^(1/5)-1)</f>
        <v>0.2429525808</v>
      </c>
    </row>
    <row r="11">
      <c r="A11" s="75">
        <v>14.0</v>
      </c>
      <c r="B11" s="76">
        <f>IF(((10*Assumptions!B7)-(Assumptions!B24+Assumptions!B27)-Assumptions!B18-Assumptions!B19)&lt;=0,0,((14*'Income Statement'!I11-('Debt Schedule'!I9+'Debt Schedule'!I14))/((10*Assumptions!B7)-(Assumptions!B24+Assumptions!B27)-Assumptions!B18-Assumptions!B19))^(1/5)-1)</f>
        <v>0.5696831994</v>
      </c>
      <c r="C11" s="76">
        <f>IF(((11*Assumptions!B7)-(Assumptions!B24+Assumptions!B27)-Assumptions!B18-Assumptions!B19)&lt;=0,0,((14*'Income Statement'!I11-('Debt Schedule'!I9+'Debt Schedule'!I14))/((11*Assumptions!B7)-(Assumptions!B24+Assumptions!B27)-Assumptions!B18-Assumptions!B19))^(1/5)-1)</f>
        <v>0.4504140455</v>
      </c>
      <c r="D11" s="77">
        <f>IF(((12.3*Assumptions!B7)-(Assumptions!B24+Assumptions!B27)-Assumptions!B18-Assumptions!B19)&lt;=0,0,((14*'Income Statement'!I11-('Debt Schedule'!I9+'Debt Schedule'!I14))/((12.3*Assumptions!B7)-(Assumptions!B24+Assumptions!B27)-Assumptions!B18-Assumptions!B19))^(1/5)-1)</f>
        <v>0.3513573824</v>
      </c>
      <c r="E11" s="76">
        <f>IF(((13*Assumptions!B7)-(Assumptions!B24+Assumptions!B27)-Assumptions!B18-Assumptions!B19)&lt;=0,0,((14*'Income Statement'!I11-('Debt Schedule'!I9+'Debt Schedule'!I14))/((13*Assumptions!B7)-(Assumptions!B24+Assumptions!B27)-Assumptions!B18-Assumptions!B19))^(1/5)-1)</f>
        <v>0.3117394691</v>
      </c>
      <c r="F11" s="76">
        <f>IF(((14*Assumptions!B7)-(Assumptions!B24+Assumptions!B27)-Assumptions!B18-Assumptions!B19)&lt;=0,0,((14*'Income Statement'!I11-('Debt Schedule'!I9+'Debt Schedule'!I14))/((14*Assumptions!B7)-(Assumptions!B24+Assumptions!B27)-Assumptions!B18-Assumptions!B19))^(1/5)-1)</f>
        <v>0.265300333</v>
      </c>
    </row>
    <row r="13">
      <c r="A13" s="71" t="s">
        <v>174</v>
      </c>
      <c r="B13" s="35"/>
      <c r="C13" s="35"/>
      <c r="D13" s="35"/>
      <c r="E13" s="35"/>
      <c r="F13" s="35"/>
    </row>
    <row r="14">
      <c r="A14" s="73" t="s">
        <v>175</v>
      </c>
      <c r="B14" s="78">
        <v>0.11</v>
      </c>
      <c r="C14" s="78">
        <v>0.13</v>
      </c>
      <c r="D14" s="78">
        <v>0.145</v>
      </c>
      <c r="E14" s="78">
        <v>0.16</v>
      </c>
      <c r="F14" s="78">
        <v>0.18</v>
      </c>
    </row>
    <row r="15">
      <c r="A15" s="79">
        <v>0.03</v>
      </c>
      <c r="B15" s="80">
        <f>IF((Assumptions!B16-Assumptions!B18-Assumptions!B19-(Assumptions!B24+Assumptions!B27))&lt;=0,0,(12*((Assumptions!B6*(1+0.03)^5)*0.11)-('Debt Schedule'!I9+'Debt Schedule'!I14))/(Assumptions!B16-Assumptions!B18-Assumptions!B19-(Assumptions!B24+Assumptions!B27)))</f>
        <v>1.848462964</v>
      </c>
      <c r="C15" s="80">
        <f>IF((Assumptions!B16-Assumptions!B18-Assumptions!B19-(Assumptions!B24+Assumptions!B27))&lt;=0,0,(12*((Assumptions!B6*(1+0.03)^5)*0.13)-('Debt Schedule'!I9+'Debt Schedule'!I14))/(Assumptions!B16-Assumptions!B18-Assumptions!B19-(Assumptions!B24+Assumptions!B27)))</f>
        <v>2.341010789</v>
      </c>
      <c r="D15" s="80">
        <f>IF((Assumptions!B16-Assumptions!B18-Assumptions!B19-(Assumptions!B24+Assumptions!B27))&lt;=0,0,(12*((Assumptions!B6*(1+0.03)^5)*0.145)-('Debt Schedule'!I9+'Debt Schedule'!I14))/(Assumptions!B16-Assumptions!B18-Assumptions!B19-(Assumptions!B24+Assumptions!B27)))</f>
        <v>2.710421658</v>
      </c>
      <c r="E15" s="80">
        <f>IF((Assumptions!B16-Assumptions!B18-Assumptions!B19-(Assumptions!B24+Assumptions!B27))&lt;=0,0,(12*((Assumptions!B6*(1+0.03)^5)*0.16)-('Debt Schedule'!I9+'Debt Schedule'!I14))/(Assumptions!B16-Assumptions!B18-Assumptions!B19-(Assumptions!B24+Assumptions!B27)))</f>
        <v>3.079832527</v>
      </c>
      <c r="F15" s="80">
        <f>IF((Assumptions!B16-Assumptions!B18-Assumptions!B19-(Assumptions!B24+Assumptions!B27))&lt;=0,0,(12*((Assumptions!B6*(1+0.03)^5)*0.18)-('Debt Schedule'!I9+'Debt Schedule'!I14))/(Assumptions!B16-Assumptions!B18-Assumptions!B19-(Assumptions!B24+Assumptions!B27)))</f>
        <v>3.572380352</v>
      </c>
    </row>
    <row r="16">
      <c r="A16" s="79">
        <v>0.05</v>
      </c>
      <c r="B16" s="80">
        <f>IF((Assumptions!B16-Assumptions!B18-Assumptions!B19-(Assumptions!B24+Assumptions!B27))&lt;=0,0,(12*((Assumptions!B6*(1+0.05)^5)*0.11)-('Debt Schedule'!I9+'Debt Schedule'!I14))/(Assumptions!B16-Assumptions!B18-Assumptions!B19-(Assumptions!B24+Assumptions!B27)))</f>
        <v>2.121888221</v>
      </c>
      <c r="C16" s="80">
        <f>IF((Assumptions!B16-Assumptions!B18-Assumptions!B19-(Assumptions!B24+Assumptions!B27))&lt;=0,0,(12*((Assumptions!B6*(1+0.05)^5)*0.13)-('Debt Schedule'!I9+'Debt Schedule'!I14))/(Assumptions!B16-Assumptions!B18-Assumptions!B19-(Assumptions!B24+Assumptions!B27)))</f>
        <v>2.664149729</v>
      </c>
      <c r="D16" s="80">
        <f>IF((Assumptions!B16-Assumptions!B18-Assumptions!B19-(Assumptions!B24+Assumptions!B27))&lt;=0,0,(12*((Assumptions!B6*(1+0.05)^5)*0.145)-('Debt Schedule'!I9+'Debt Schedule'!I14))/(Assumptions!B16-Assumptions!B18-Assumptions!B19-(Assumptions!B24+Assumptions!B27)))</f>
        <v>3.07084586</v>
      </c>
      <c r="E16" s="80">
        <f>IF((Assumptions!B16-Assumptions!B18-Assumptions!B19-(Assumptions!B24+Assumptions!B27))&lt;=0,0,(12*((Assumptions!B6*(1+0.05)^5)*0.16)-('Debt Schedule'!I9+'Debt Schedule'!I14))/(Assumptions!B16-Assumptions!B18-Assumptions!B19-(Assumptions!B24+Assumptions!B27)))</f>
        <v>3.477541991</v>
      </c>
      <c r="F16" s="80">
        <f>IF((Assumptions!B16-Assumptions!B18-Assumptions!B19-(Assumptions!B24+Assumptions!B27))&lt;=0,0,(12*((Assumptions!B6*(1+0.05)^5)*0.18)-('Debt Schedule'!I9+'Debt Schedule'!I14))/(Assumptions!B16-Assumptions!B18-Assumptions!B19-(Assumptions!B24+Assumptions!B27)))</f>
        <v>4.019803499</v>
      </c>
    </row>
    <row r="17">
      <c r="A17" s="79">
        <v>0.07</v>
      </c>
      <c r="B17" s="80">
        <f>IF((Assumptions!B16-Assumptions!B18-Assumptions!B19-(Assumptions!B24+Assumptions!B27))&lt;=0,0,(12*((Assumptions!B6*(1+0.07)^5)*0.11)-('Debt Schedule'!I9+'Debt Schedule'!I14))/(Assumptions!B16-Assumptions!B18-Assumptions!B19-(Assumptions!B24+Assumptions!B27)))</f>
        <v>2.416958679</v>
      </c>
      <c r="C17" s="80">
        <f>IF((Assumptions!B16-Assumptions!B18-Assumptions!B19-(Assumptions!B24+Assumptions!B27))&lt;=0,0,(12*((Assumptions!B6*(1+0.07)^5)*0.13)-('Debt Schedule'!I9+'Debt Schedule'!I14))/(Assumptions!B16-Assumptions!B18-Assumptions!B19-(Assumptions!B24+Assumptions!B27)))</f>
        <v>3.012869361</v>
      </c>
      <c r="D17" s="80">
        <f>IF((Assumptions!B16-Assumptions!B18-Assumptions!B19-(Assumptions!B24+Assumptions!B27))&lt;=0,0,(12*((Assumptions!B6*(1+0.07)^5)*0.145)-('Debt Schedule'!I9+'Debt Schedule'!I14))/(Assumptions!B16-Assumptions!B18-Assumptions!B19-(Assumptions!B24+Assumptions!B27)))</f>
        <v>3.459802373</v>
      </c>
      <c r="E17" s="80">
        <f>IF((Assumptions!B16-Assumptions!B18-Assumptions!B19-(Assumptions!B24+Assumptions!B27))&lt;=0,0,(12*((Assumptions!B6*(1+0.07)^5)*0.16)-('Debt Schedule'!I9+'Debt Schedule'!I14))/(Assumptions!B16-Assumptions!B18-Assumptions!B19-(Assumptions!B24+Assumptions!B27)))</f>
        <v>3.906735384</v>
      </c>
      <c r="F17" s="80">
        <f>IF((Assumptions!B16-Assumptions!B18-Assumptions!B19-(Assumptions!B24+Assumptions!B27))&lt;=0,0,(12*((Assumptions!B6*(1+0.07)^5)*0.18)-('Debt Schedule'!I9+'Debt Schedule'!I14))/(Assumptions!B16-Assumptions!B18-Assumptions!B19-(Assumptions!B24+Assumptions!B27)))</f>
        <v>4.502646067</v>
      </c>
    </row>
    <row r="18">
      <c r="A18" s="79">
        <v>0.09</v>
      </c>
      <c r="B18" s="80">
        <f>IF((Assumptions!B16-Assumptions!B18-Assumptions!B19-(Assumptions!B24+Assumptions!B27))&lt;=0,0,(12*((Assumptions!B6*(1+0.09)^5)*0.11)-('Debt Schedule'!I9+'Debt Schedule'!I14))/(Assumptions!B16-Assumptions!B18-Assumptions!B19-(Assumptions!B24+Assumptions!B27)))</f>
        <v>2.734934762</v>
      </c>
      <c r="C18" s="80">
        <f>IF((Assumptions!B16-Assumptions!B18-Assumptions!B19-(Assumptions!B24+Assumptions!B27))&lt;=0,0,(12*((Assumptions!B6*(1+0.09)^5)*0.13)-('Debt Schedule'!I9+'Debt Schedule'!I14))/(Assumptions!B16-Assumptions!B18-Assumptions!B19-(Assumptions!B24+Assumptions!B27)))</f>
        <v>3.388659278</v>
      </c>
      <c r="D18" s="80">
        <f>IF((Assumptions!B16-Assumptions!B18-Assumptions!B19-(Assumptions!B24+Assumptions!B27))&lt;=0,0,(12*((Assumptions!B6*(1+0.09)^5)*0.145)-('Debt Schedule'!I9+'Debt Schedule'!I14))/(Assumptions!B16-Assumptions!B18-Assumptions!B19-(Assumptions!B24+Assumptions!B27)))</f>
        <v>3.878952664</v>
      </c>
      <c r="E18" s="80">
        <f>IF((Assumptions!B16-Assumptions!B18-Assumptions!B19-(Assumptions!B24+Assumptions!B27))&lt;=0,0,(12*((Assumptions!B6*(1+0.09)^5)*0.16)-('Debt Schedule'!I9+'Debt Schedule'!I14))/(Assumptions!B16-Assumptions!B18-Assumptions!B19-(Assumptions!B24+Assumptions!B27)))</f>
        <v>4.369246051</v>
      </c>
      <c r="F18" s="80">
        <f>IF((Assumptions!B16-Assumptions!B18-Assumptions!B19-(Assumptions!B24+Assumptions!B27))&lt;=0,0,(12*((Assumptions!B6*(1+0.09)^5)*0.18)-('Debt Schedule'!I9+'Debt Schedule'!I14))/(Assumptions!B16-Assumptions!B18-Assumptions!B19-(Assumptions!B24+Assumptions!B27)))</f>
        <v>5.022970567</v>
      </c>
    </row>
    <row r="19">
      <c r="A19" s="79">
        <v>0.11</v>
      </c>
      <c r="B19" s="80">
        <f>IF((Assumptions!B16-Assumptions!B18-Assumptions!B19-(Assumptions!B24+Assumptions!B27))&lt;=0,0,(12*((Assumptions!B6*(1+0.11)^5)*0.11)-('Debt Schedule'!I9+'Debt Schedule'!I14))/(Assumptions!B16-Assumptions!B18-Assumptions!B19-(Assumptions!B24+Assumptions!B27)))</f>
        <v>3.077124902</v>
      </c>
      <c r="C19" s="80">
        <f>IF((Assumptions!B16-Assumptions!B18-Assumptions!B19-(Assumptions!B24+Assumptions!B27))&lt;=0,0,(12*((Assumptions!B6*(1+0.11)^5)*0.13)-('Debt Schedule'!I9+'Debt Schedule'!I14))/(Assumptions!B16-Assumptions!B18-Assumptions!B19-(Assumptions!B24+Assumptions!B27)))</f>
        <v>3.793065806</v>
      </c>
      <c r="D19" s="80">
        <f>IF((Assumptions!B16-Assumptions!B18-Assumptions!B19-(Assumptions!B24+Assumptions!B27))&lt;=0,0,(12*((Assumptions!B6*(1+0.11)^5)*0.145)-('Debt Schedule'!I9+'Debt Schedule'!I14))/(Assumptions!B16-Assumptions!B18-Assumptions!B19-(Assumptions!B24+Assumptions!B27)))</f>
        <v>4.330021485</v>
      </c>
      <c r="E19" s="80">
        <f>IF((Assumptions!B16-Assumptions!B18-Assumptions!B19-(Assumptions!B24+Assumptions!B27))&lt;=0,0,(12*((Assumptions!B6*(1+0.11)^5)*0.16)-('Debt Schedule'!I9+'Debt Schedule'!I14))/(Assumptions!B16-Assumptions!B18-Assumptions!B19-(Assumptions!B24+Assumptions!B27)))</f>
        <v>4.866977163</v>
      </c>
      <c r="F19" s="80">
        <f>IF((Assumptions!B16-Assumptions!B18-Assumptions!B19-(Assumptions!B24+Assumptions!B27))&lt;=0,0,(12*((Assumptions!B6*(1+0.11)^5)*0.18)-('Debt Schedule'!I9+'Debt Schedule'!I14))/(Assumptions!B16-Assumptions!B18-Assumptions!B19-(Assumptions!B24+Assumptions!B27)))</f>
        <v>5.582918068</v>
      </c>
    </row>
    <row r="21">
      <c r="A21" s="81" t="s">
        <v>176</v>
      </c>
    </row>
    <row r="22">
      <c r="A22" s="81" t="s">
        <v>177</v>
      </c>
    </row>
  </sheetData>
  <conditionalFormatting sqref="B15:F19">
    <cfRule type="colorScale" priority="1">
      <colorScale>
        <cfvo type="formula" val="0.5"/>
        <cfvo type="formula" val="2"/>
        <cfvo type="formula" val="4"/>
        <color rgb="FFCC0000"/>
        <color rgb="FFFFFFFF"/>
        <color rgb="FF38761D"/>
      </colorScale>
    </cfRule>
  </conditionalFormatting>
  <conditionalFormatting sqref="B6:F11">
    <cfRule type="colorScale" priority="2">
      <colorScale>
        <cfvo type="formula" val="0"/>
        <cfvo type="formula" val="0.2"/>
        <cfvo type="formula" val="0.35"/>
        <color rgb="FFCC0000"/>
        <color rgb="FFFFFFFF"/>
        <color rgb="FF38761D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/>
  </sheetViews>
  <sheetFormatPr customHeight="1" defaultColWidth="12.63" defaultRowHeight="15.75"/>
  <cols>
    <col customWidth="1" min="1" max="1" width="45.38"/>
  </cols>
  <sheetData>
    <row r="1">
      <c r="A1" s="28" t="s">
        <v>178</v>
      </c>
      <c r="B1" s="45"/>
      <c r="C1" s="45"/>
      <c r="D1" s="45"/>
      <c r="E1" s="45"/>
    </row>
    <row r="2">
      <c r="A2" s="30" t="s">
        <v>179</v>
      </c>
      <c r="B2" s="31"/>
      <c r="C2" s="31"/>
      <c r="D2" s="31"/>
      <c r="E2" s="31"/>
    </row>
    <row r="3">
      <c r="A3" s="33" t="s">
        <v>180</v>
      </c>
      <c r="B3" s="41"/>
      <c r="C3" s="41"/>
      <c r="D3" s="41"/>
      <c r="E3" s="41"/>
    </row>
    <row r="4">
      <c r="A4" s="7" t="s">
        <v>141</v>
      </c>
      <c r="B4" s="47">
        <f>Assumptions!B16</f>
        <v>970</v>
      </c>
    </row>
    <row r="5">
      <c r="A5" s="7" t="s">
        <v>181</v>
      </c>
      <c r="B5" s="47">
        <f>-(Assumptions!B24+Assumptions!B27)</f>
        <v>-432</v>
      </c>
    </row>
    <row r="6">
      <c r="A6" s="7" t="s">
        <v>182</v>
      </c>
      <c r="B6" s="47">
        <f>-Assumptions!B18</f>
        <v>-172</v>
      </c>
    </row>
    <row r="7">
      <c r="A7" s="7" t="s">
        <v>183</v>
      </c>
      <c r="B7" s="47">
        <f>-Assumptions!B19</f>
        <v>-19</v>
      </c>
    </row>
    <row r="8">
      <c r="A8" s="48" t="s">
        <v>184</v>
      </c>
      <c r="B8" s="58">
        <f>SUM(B4:B7)</f>
        <v>347</v>
      </c>
      <c r="C8" s="49"/>
      <c r="D8" s="49"/>
    </row>
    <row r="9">
      <c r="A9" s="33" t="s">
        <v>185</v>
      </c>
      <c r="B9" s="41"/>
      <c r="C9" s="41"/>
      <c r="D9" s="41"/>
      <c r="E9" s="41"/>
    </row>
    <row r="10">
      <c r="A10" s="7" t="s">
        <v>186</v>
      </c>
      <c r="B10" s="47">
        <f>Assumptions!B7</f>
        <v>78.5</v>
      </c>
    </row>
    <row r="11">
      <c r="A11" s="7" t="s">
        <v>187</v>
      </c>
      <c r="B11" s="47">
        <f>'Income Statement'!I11</f>
        <v>131.5967214</v>
      </c>
    </row>
    <row r="12">
      <c r="A12" s="7" t="s">
        <v>188</v>
      </c>
      <c r="B12" s="19">
        <f>B11-B10</f>
        <v>53.09672142</v>
      </c>
    </row>
    <row r="13">
      <c r="A13" s="7" t="s">
        <v>189</v>
      </c>
      <c r="B13" s="20">
        <f>B12/B10</f>
        <v>0.6763913556</v>
      </c>
    </row>
    <row r="14">
      <c r="A14" s="4" t="s">
        <v>190</v>
      </c>
      <c r="B14" s="82">
        <f>(B12-B10)*Assumptions!B44</f>
        <v>-304.839343</v>
      </c>
      <c r="F14" s="83" t="s">
        <v>191</v>
      </c>
    </row>
    <row r="15">
      <c r="A15" s="7" t="s">
        <v>192</v>
      </c>
      <c r="B15" s="59">
        <f>Assumptions!B17</f>
        <v>12.3</v>
      </c>
      <c r="F15" s="84"/>
    </row>
    <row r="16">
      <c r="A16" s="7" t="s">
        <v>193</v>
      </c>
      <c r="B16" s="59">
        <f>Assumptions!B44</f>
        <v>12</v>
      </c>
      <c r="F16" s="84"/>
    </row>
    <row r="17">
      <c r="A17" s="4" t="s">
        <v>194</v>
      </c>
      <c r="B17" s="85">
        <f>B11*(B16-B15)</f>
        <v>-39.47901643</v>
      </c>
      <c r="F17" s="83" t="s">
        <v>195</v>
      </c>
    </row>
    <row r="18">
      <c r="A18" s="7" t="s">
        <v>196</v>
      </c>
      <c r="B18" s="19">
        <f>Assumptions!B24+Assumptions!B27+Assumptions!B18</f>
        <v>604</v>
      </c>
      <c r="F18" s="84"/>
    </row>
    <row r="19">
      <c r="A19" s="7" t="s">
        <v>197</v>
      </c>
      <c r="B19" s="47">
        <f>'Debt Schedule'!I9+'Debt Schedule'!I14</f>
        <v>298.6108757</v>
      </c>
      <c r="F19" s="84"/>
    </row>
    <row r="20">
      <c r="A20" s="4" t="s">
        <v>198</v>
      </c>
      <c r="B20" s="54">
        <f>B18-B19</f>
        <v>305.3891243</v>
      </c>
      <c r="F20" s="83" t="s">
        <v>199</v>
      </c>
    </row>
    <row r="21">
      <c r="A21" s="33" t="s">
        <v>200</v>
      </c>
      <c r="B21" s="41"/>
      <c r="C21" s="41"/>
      <c r="D21" s="41"/>
      <c r="E21" s="41"/>
    </row>
    <row r="22">
      <c r="A22" s="7" t="s">
        <v>201</v>
      </c>
      <c r="B22" s="19">
        <f>B8</f>
        <v>347</v>
      </c>
    </row>
    <row r="23">
      <c r="A23" s="7" t="s">
        <v>166</v>
      </c>
      <c r="B23" s="27">
        <f>B14</f>
        <v>-304.839343</v>
      </c>
    </row>
    <row r="24">
      <c r="A24" s="7" t="s">
        <v>202</v>
      </c>
      <c r="B24" s="38">
        <f>B17</f>
        <v>-39.47901643</v>
      </c>
    </row>
    <row r="25">
      <c r="A25" s="7" t="s">
        <v>168</v>
      </c>
      <c r="B25" s="19">
        <f>B20</f>
        <v>305.3891243</v>
      </c>
    </row>
    <row r="26">
      <c r="A26" s="48" t="s">
        <v>203</v>
      </c>
      <c r="B26" s="50">
        <f>SUM(B22:B25)</f>
        <v>308.0707649</v>
      </c>
      <c r="C26" s="49"/>
      <c r="D26" s="49"/>
    </row>
    <row r="27">
      <c r="A27" s="7" t="s">
        <v>204</v>
      </c>
      <c r="B27" s="52">
        <f>'Returns Analysis'!C16</f>
        <v>1280.549781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75"/>
  <cols>
    <col customWidth="1" min="1" max="1" width="28.75"/>
    <col customWidth="1" min="2" max="2" width="44.13"/>
  </cols>
  <sheetData>
    <row r="1">
      <c r="A1" s="28" t="s">
        <v>205</v>
      </c>
      <c r="B1" s="45"/>
      <c r="C1" s="45"/>
      <c r="D1" s="45"/>
    </row>
    <row r="2">
      <c r="A2" s="30" t="s">
        <v>206</v>
      </c>
      <c r="B2" s="31"/>
      <c r="C2" s="31"/>
      <c r="D2" s="31"/>
    </row>
    <row r="3">
      <c r="A3" s="86" t="s">
        <v>207</v>
      </c>
      <c r="B3" s="87"/>
      <c r="C3" s="87"/>
      <c r="D3" s="87"/>
    </row>
    <row r="4">
      <c r="A4" s="7" t="s">
        <v>208</v>
      </c>
      <c r="B4" s="14" t="s">
        <v>209</v>
      </c>
      <c r="C4" s="88" t="s">
        <v>210</v>
      </c>
    </row>
    <row r="5">
      <c r="A5" s="7" t="s">
        <v>211</v>
      </c>
      <c r="B5" s="14" t="s">
        <v>212</v>
      </c>
      <c r="C5" s="88" t="s">
        <v>213</v>
      </c>
    </row>
    <row r="6">
      <c r="A6" s="7" t="s">
        <v>214</v>
      </c>
      <c r="B6" s="14" t="s">
        <v>215</v>
      </c>
      <c r="C6" s="88" t="s">
        <v>216</v>
      </c>
    </row>
    <row r="7">
      <c r="A7" s="7" t="s">
        <v>217</v>
      </c>
      <c r="B7" s="14" t="s">
        <v>218</v>
      </c>
      <c r="C7" s="88" t="s">
        <v>219</v>
      </c>
    </row>
    <row r="8">
      <c r="A8" s="7" t="s">
        <v>220</v>
      </c>
      <c r="B8" s="14" t="s">
        <v>221</v>
      </c>
      <c r="C8" s="88" t="s">
        <v>222</v>
      </c>
    </row>
    <row r="9">
      <c r="A9" s="7" t="s">
        <v>223</v>
      </c>
      <c r="B9" s="14" t="s">
        <v>224</v>
      </c>
      <c r="C9" s="88" t="s">
        <v>225</v>
      </c>
    </row>
    <row r="10">
      <c r="A10" s="7" t="s">
        <v>226</v>
      </c>
      <c r="B10" s="14" t="s">
        <v>227</v>
      </c>
      <c r="C10" s="88" t="s">
        <v>228</v>
      </c>
    </row>
    <row r="11">
      <c r="A11" s="7" t="s">
        <v>229</v>
      </c>
      <c r="B11" s="14" t="s">
        <v>230</v>
      </c>
      <c r="C11" s="88" t="s">
        <v>231</v>
      </c>
    </row>
    <row r="12">
      <c r="A12" s="7" t="s">
        <v>232</v>
      </c>
      <c r="B12" s="14" t="s">
        <v>233</v>
      </c>
      <c r="C12" s="88" t="s">
        <v>234</v>
      </c>
    </row>
    <row r="13">
      <c r="A13" s="7" t="s">
        <v>235</v>
      </c>
      <c r="B13" s="14" t="s">
        <v>236</v>
      </c>
      <c r="C13" s="88" t="s">
        <v>237</v>
      </c>
    </row>
    <row r="15">
      <c r="A15" s="33" t="s">
        <v>238</v>
      </c>
      <c r="B15" s="41"/>
      <c r="C15" s="41"/>
      <c r="D15" s="41"/>
    </row>
    <row r="16">
      <c r="A16" s="7" t="s">
        <v>239</v>
      </c>
      <c r="B16" s="89">
        <f>'Returns Analysis'!B8</f>
        <v>347</v>
      </c>
      <c r="C16" s="88" t="s">
        <v>240</v>
      </c>
    </row>
    <row r="17">
      <c r="A17" s="7" t="s">
        <v>141</v>
      </c>
      <c r="B17" s="89">
        <f>Assumptions!B16</f>
        <v>970</v>
      </c>
      <c r="C17" s="88" t="s">
        <v>241</v>
      </c>
    </row>
    <row r="18">
      <c r="A18" s="7" t="s">
        <v>172</v>
      </c>
      <c r="B18" s="90">
        <f>Assumptions!B17</f>
        <v>12.3</v>
      </c>
      <c r="C18" s="88" t="s">
        <v>242</v>
      </c>
    </row>
    <row r="19">
      <c r="A19" s="7" t="s">
        <v>243</v>
      </c>
      <c r="B19" s="89">
        <f>Assumptions!B24+Assumptions!B27</f>
        <v>432</v>
      </c>
      <c r="C19" s="88" t="s">
        <v>244</v>
      </c>
    </row>
    <row r="20">
      <c r="A20" s="7" t="s">
        <v>245</v>
      </c>
      <c r="B20" s="59">
        <f>'Debt Schedule'!E19</f>
        <v>5.370215004</v>
      </c>
      <c r="C20" s="88" t="s">
        <v>246</v>
      </c>
    </row>
    <row r="21">
      <c r="A21" s="7" t="s">
        <v>247</v>
      </c>
      <c r="B21" s="91">
        <f>Assumptions!B42+2024</f>
        <v>2029</v>
      </c>
      <c r="C21" s="88" t="s">
        <v>248</v>
      </c>
    </row>
    <row r="22">
      <c r="A22" s="7" t="s">
        <v>249</v>
      </c>
      <c r="B22" s="89">
        <f>'Income Statement'!I11</f>
        <v>131.5967214</v>
      </c>
      <c r="C22" s="88" t="s">
        <v>250</v>
      </c>
    </row>
    <row r="23">
      <c r="A23" s="7" t="s">
        <v>251</v>
      </c>
      <c r="B23" s="92">
        <f>'Returns Analysis'!C14</f>
        <v>1579.160657</v>
      </c>
      <c r="C23" s="88" t="s">
        <v>252</v>
      </c>
    </row>
    <row r="24">
      <c r="A24" s="7" t="s">
        <v>203</v>
      </c>
      <c r="B24" s="92">
        <f>'Returns Analysis'!C16</f>
        <v>1280.549781</v>
      </c>
      <c r="C24" s="88" t="s">
        <v>253</v>
      </c>
    </row>
    <row r="25">
      <c r="A25" s="93" t="s">
        <v>254</v>
      </c>
      <c r="B25" s="94">
        <f>'Returns Analysis'!B21</f>
        <v>0.2400200978</v>
      </c>
      <c r="C25" s="95" t="s">
        <v>255</v>
      </c>
    </row>
    <row r="26">
      <c r="A26" s="93" t="s">
        <v>256</v>
      </c>
      <c r="B26" s="94">
        <f>'Returns Analysis'!C21</f>
        <v>0.298414624</v>
      </c>
      <c r="C26" s="95" t="s">
        <v>257</v>
      </c>
    </row>
    <row r="27">
      <c r="A27" s="7" t="s">
        <v>258</v>
      </c>
      <c r="B27" s="96">
        <f>'Returns Analysis'!D21</f>
        <v>0.3478734473</v>
      </c>
      <c r="C27" s="88" t="s">
        <v>259</v>
      </c>
    </row>
    <row r="28">
      <c r="A28" s="93" t="s">
        <v>260</v>
      </c>
      <c r="B28" s="97">
        <f>'Returns Analysis'!C22</f>
        <v>3.690345191</v>
      </c>
      <c r="C28" s="95" t="s">
        <v>261</v>
      </c>
    </row>
    <row r="30">
      <c r="A30" s="33" t="s">
        <v>262</v>
      </c>
      <c r="B30" s="41"/>
      <c r="C30" s="41"/>
      <c r="D30" s="41"/>
    </row>
    <row r="31">
      <c r="A31" s="7" t="s">
        <v>263</v>
      </c>
    </row>
    <row r="32">
      <c r="A32" s="7" t="s">
        <v>264</v>
      </c>
    </row>
    <row r="33">
      <c r="A33" s="7" t="s">
        <v>265</v>
      </c>
    </row>
    <row r="34">
      <c r="A34" s="7" t="s">
        <v>266</v>
      </c>
    </row>
    <row r="35">
      <c r="A35" s="7" t="s">
        <v>267</v>
      </c>
    </row>
    <row r="37">
      <c r="A37" s="98" t="s">
        <v>268</v>
      </c>
    </row>
  </sheetData>
  <drawing r:id="rId1"/>
</worksheet>
</file>